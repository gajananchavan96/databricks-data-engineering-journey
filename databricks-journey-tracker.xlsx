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ava\Downloads\"/>
    </mc:Choice>
  </mc:AlternateContent>
  <xr:revisionPtr revIDLastSave="0" documentId="13_ncr:20001_{738338FE-E288-4F2F-8436-C008FBC77E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rt Here" sheetId="1" r:id="rId1"/>
    <sheet name="Progress Dashboard" sheetId="2" r:id="rId2"/>
    <sheet name="26-Week Roadmap" sheetId="3" r:id="rId3"/>
    <sheet name="Daily Tracker" sheetId="4" r:id="rId4"/>
    <sheet name="Free Resources" sheetId="5" r:id="rId5"/>
    <sheet name="GitHub Setup Guide" sheetId="6" r:id="rId6"/>
  </sheets>
  <definedNames>
    <definedName name="_xlnm._FilterDatabase" localSheetId="2" hidden="1">'26-Week Roadmap'!$A$1:$I$27</definedName>
    <definedName name="_xlnm._FilterDatabase" localSheetId="3" hidden="1">'Daily Tracker'!$A$1:$L$183</definedName>
    <definedName name="_xlnm._FilterDatabase" localSheetId="4" hidden="1">'Free Resources'!$A$1:$D$26</definedName>
  </definedNames>
  <calcPr calcId="191029"/>
  <fileRecoveryPr repairLoad="1"/>
</workbook>
</file>

<file path=xl/calcChain.xml><?xml version="1.0" encoding="utf-8"?>
<calcChain xmlns="http://schemas.openxmlformats.org/spreadsheetml/2006/main">
  <c r="F14" i="2" l="1"/>
  <c r="E39" i="2"/>
  <c r="D39" i="2"/>
  <c r="C39" i="2"/>
  <c r="F39" i="2" s="1"/>
  <c r="E38" i="2"/>
  <c r="D38" i="2"/>
  <c r="C38" i="2"/>
  <c r="F38" i="2" s="1"/>
  <c r="E37" i="2"/>
  <c r="D37" i="2"/>
  <c r="C37" i="2"/>
  <c r="F37" i="2" s="1"/>
  <c r="E36" i="2"/>
  <c r="D36" i="2"/>
  <c r="C36" i="2"/>
  <c r="F36" i="2" s="1"/>
  <c r="E35" i="2"/>
  <c r="D35" i="2"/>
  <c r="C35" i="2"/>
  <c r="F35" i="2" s="1"/>
  <c r="E34" i="2"/>
  <c r="D34" i="2"/>
  <c r="C34" i="2"/>
  <c r="F34" i="2" s="1"/>
  <c r="E33" i="2"/>
  <c r="D33" i="2"/>
  <c r="C33" i="2"/>
  <c r="F33" i="2" s="1"/>
  <c r="E32" i="2"/>
  <c r="D32" i="2"/>
  <c r="C32" i="2"/>
  <c r="F32" i="2" s="1"/>
  <c r="E31" i="2"/>
  <c r="D31" i="2"/>
  <c r="C31" i="2"/>
  <c r="F31" i="2" s="1"/>
  <c r="E30" i="2"/>
  <c r="D30" i="2"/>
  <c r="C30" i="2"/>
  <c r="F30" i="2" s="1"/>
  <c r="E29" i="2"/>
  <c r="D29" i="2"/>
  <c r="C29" i="2"/>
  <c r="F29" i="2" s="1"/>
  <c r="E28" i="2"/>
  <c r="D28" i="2"/>
  <c r="C28" i="2"/>
  <c r="F28" i="2" s="1"/>
  <c r="E27" i="2"/>
  <c r="D27" i="2"/>
  <c r="C27" i="2"/>
  <c r="F27" i="2" s="1"/>
  <c r="E26" i="2"/>
  <c r="D26" i="2"/>
  <c r="C26" i="2"/>
  <c r="F26" i="2" s="1"/>
  <c r="E25" i="2"/>
  <c r="D25" i="2"/>
  <c r="C25" i="2"/>
  <c r="F25" i="2" s="1"/>
  <c r="E24" i="2"/>
  <c r="D24" i="2"/>
  <c r="C24" i="2"/>
  <c r="F24" i="2" s="1"/>
  <c r="E23" i="2"/>
  <c r="D23" i="2"/>
  <c r="C23" i="2"/>
  <c r="F23" i="2" s="1"/>
  <c r="E22" i="2"/>
  <c r="D22" i="2"/>
  <c r="C22" i="2"/>
  <c r="F22" i="2" s="1"/>
  <c r="E21" i="2"/>
  <c r="D21" i="2"/>
  <c r="C21" i="2"/>
  <c r="F21" i="2" s="1"/>
  <c r="E20" i="2"/>
  <c r="D20" i="2"/>
  <c r="C20" i="2"/>
  <c r="F20" i="2" s="1"/>
  <c r="E19" i="2"/>
  <c r="D19" i="2"/>
  <c r="C19" i="2"/>
  <c r="F19" i="2" s="1"/>
  <c r="E18" i="2"/>
  <c r="D18" i="2"/>
  <c r="C18" i="2"/>
  <c r="F18" i="2" s="1"/>
  <c r="E17" i="2"/>
  <c r="D17" i="2"/>
  <c r="C17" i="2"/>
  <c r="F17" i="2" s="1"/>
  <c r="E16" i="2"/>
  <c r="D16" i="2"/>
  <c r="C16" i="2"/>
  <c r="F16" i="2" s="1"/>
  <c r="E15" i="2"/>
  <c r="D15" i="2"/>
  <c r="C15" i="2"/>
  <c r="F15" i="2" s="1"/>
  <c r="D14" i="2"/>
  <c r="B7" i="2"/>
  <c r="B8" i="2" s="1"/>
  <c r="B6" i="2"/>
  <c r="B5" i="2"/>
  <c r="B4" i="2"/>
  <c r="B9" i="2" l="1"/>
</calcChain>
</file>

<file path=xl/sharedStrings.xml><?xml version="1.0" encoding="utf-8"?>
<sst xmlns="http://schemas.openxmlformats.org/spreadsheetml/2006/main" count="1530" uniqueCount="722">
  <si>
    <t>Databricks Data Engineering Journey — 6-Month Learning Tracker</t>
  </si>
  <si>
    <t>26 weeks • ~10 hours/week • ~260 planned hours • Python, NumPy, Pandas, PySpark, Databricks and Delta Lake</t>
  </si>
  <si>
    <t>How to use this workbook</t>
  </si>
  <si>
    <t>1. Start with the 26-Week Roadmap sheet to see the weekly concepts, resources, project and expected deliverable.</t>
  </si>
  <si>
    <t>2. In Daily Tracker, enter a planned date if useful, then update Actual Hours, Status and Notes after each session.</t>
  </si>
  <si>
    <t>3. Status options: Not Started, In Progress, Blocked, Completed. Use the notes column to record links, blockers and lessons.</t>
  </si>
  <si>
    <t>4. Planned hours are allocated as 1.5 hours for Days 1–6 and 1 hour for Day 7 = 10 hours/week. Move sessions around as needed.</t>
  </si>
  <si>
    <t>5. Use the Progress Dashboard to track completion. Completion is based on marking daily tasks Completed.</t>
  </si>
  <si>
    <t>6. Free-tier/platform features and URLs can change. Check current Databricks Free Edition limits before planning compute-heavy exercises.</t>
  </si>
  <si>
    <t>7. Do not upload employer/client data or confidential code to a public repository. Use synthetic/public datasets.</t>
  </si>
  <si>
    <t>Suggested weekly routine</t>
  </si>
  <si>
    <t>Days 1–2</t>
  </si>
  <si>
    <t>Concepts + guided examples</t>
  </si>
  <si>
    <t>3 hours</t>
  </si>
  <si>
    <t>Days 3–5</t>
  </si>
  <si>
    <t>Exercises + realistic data + debugging</t>
  </si>
  <si>
    <t>4.5 hours</t>
  </si>
  <si>
    <t>Day 6</t>
  </si>
  <si>
    <t>Mini-project implementation</t>
  </si>
  <si>
    <t>1.5 hours</t>
  </si>
  <si>
    <t>Day 7</t>
  </si>
  <si>
    <t>Finish deliverable + review</t>
  </si>
  <si>
    <t>1 hour</t>
  </si>
  <si>
    <t>Learning outcome after 6 months</t>
  </si>
  <si>
    <t>Target: working proficiency to build, test, troubleshoot and explain a production-style lakehouse pipeline. Advanced mastery requires continued practice beyond the planned 260 hours.</t>
  </si>
  <si>
    <t>Learning Progress Dashboard</t>
  </si>
  <si>
    <t>Overall Metrics</t>
  </si>
  <si>
    <t>Planned learning hours</t>
  </si>
  <si>
    <t>Actual learning hours</t>
  </si>
  <si>
    <t>Daily sessions completed</t>
  </si>
  <si>
    <t>Total daily sessions</t>
  </si>
  <si>
    <t>Completion percentage</t>
  </si>
  <si>
    <t>Hours progress percentage</t>
  </si>
  <si>
    <t>Progress by week</t>
  </si>
  <si>
    <t>Week</t>
  </si>
  <si>
    <t>Theme</t>
  </si>
  <si>
    <t>Completed sessions</t>
  </si>
  <si>
    <t>Total sessions</t>
  </si>
  <si>
    <t>Actual hours</t>
  </si>
  <si>
    <t>Status</t>
  </si>
  <si>
    <t>Python basics and programming logic</t>
  </si>
  <si>
    <t>Data structures and functions</t>
  </si>
  <si>
    <t>Files, exceptions and reusable code</t>
  </si>
  <si>
    <t>Advanced Python fundamentals and testing</t>
  </si>
  <si>
    <t>NumPy fundamentals</t>
  </si>
  <si>
    <t>Pandas DataFrames and data cleaning</t>
  </si>
  <si>
    <t>Advanced Pandas transformations</t>
  </si>
  <si>
    <t>Pandas performance and data analysis</t>
  </si>
  <si>
    <t>Spark architecture and PySpark setup</t>
  </si>
  <si>
    <t>PySpark DataFrame transformations</t>
  </si>
  <si>
    <t>Joins, aggregations and windows</t>
  </si>
  <si>
    <t>Spark internals and performance</t>
  </si>
  <si>
    <t>Advanced PySpark patterns</t>
  </si>
  <si>
    <t>Databricks workspace and notebooks</t>
  </si>
  <si>
    <t>Delta Lake fundamentals</t>
  </si>
  <si>
    <t>Lakehouse and medallion architecture</t>
  </si>
  <si>
    <t>Incremental processing and CDC</t>
  </si>
  <si>
    <t>Advanced performance optimization</t>
  </si>
  <si>
    <t>Structured Streaming</t>
  </si>
  <si>
    <t>Workflow orchestration and operations</t>
  </si>
  <si>
    <t>Data quality, testing and governance</t>
  </si>
  <si>
    <t>Deployment, reusable code and CI/CD</t>
  </si>
  <si>
    <t>Capstone design and ingestion</t>
  </si>
  <si>
    <t>Capstone business transformations</t>
  </si>
  <si>
    <t>Capstone optimization and operations</t>
  </si>
  <si>
    <t>Final deployment and portfolio</t>
  </si>
  <si>
    <t>Month</t>
  </si>
  <si>
    <t>Weekly Theme</t>
  </si>
  <si>
    <t>Core Concepts to Learn</t>
  </si>
  <si>
    <t>Resources / Practical Exercises</t>
  </si>
  <si>
    <t>Mini-Project / Deliverable</t>
  </si>
  <si>
    <t>Completion Evidence</t>
  </si>
  <si>
    <t>Notes</t>
  </si>
  <si>
    <t>Month 1</t>
  </si>
  <si>
    <t>Variables; primitive data types; type conversion; operators; conditionals; loops; notebook/script execution.</t>
  </si>
  <si>
    <t>Official Python Tutorial; Google Colab or local Python. Exercises: 15–20 small problems on conditions, loops, calculations.</t>
  </si>
  <si>
    <t>ETL validation utility: validate employee IDs and salaries; separate valid and rejected records.</t>
  </si>
  <si>
    <t>Runnable script with 10+ test records.</t>
  </si>
  <si>
    <t>Not Started</t>
  </si>
  <si>
    <t>Lists, tuples, sets, dictionaries; indexing/slicing; comprehensions; functions; parameters; return values; lambda; scope; nested JSON.</t>
  </si>
  <si>
    <t>Python tutorial: data structures and functions. Exercises: normalize API-style JSON and write 10 functions.</t>
  </si>
  <si>
    <t>API response transformer: extract customers, calculate order totals, group orders, identify duplicate IDs.</t>
  </si>
  <si>
    <t>Reusable Python module with 5+ functions.</t>
  </si>
  <si>
    <t>CSV/JSON/text files; exceptions; logging; modules/packages; virtual environments; type hints; docstrings; OOP basics.</t>
  </si>
  <si>
    <t>Python standard library docs. Exercises: malformed files, invalid values, missing files, line-by-line processing.</t>
  </si>
  <si>
    <t>File-based ETL framework: read CSVs, validate schemas, consolidate outputs, quarantine rejects.</t>
  </si>
  <si>
    <t>Configurable pipeline with logs and exception handling.</t>
  </si>
  <si>
    <t>Iterators/generators; decorators; context managers; shallow/deep copy; pytest; mocking basics; Git basics.</t>
  </si>
  <si>
    <t>pytest docs and GitHub Skills. Exercises: tests for ETL utility and chunked file processing.</t>
  </si>
  <si>
    <t>Production-style CSV processing package split into ingestion, validation, transformation, logging and config.</t>
  </si>
  <si>
    <t>Git repository with tests, README, sample input/output.</t>
  </si>
  <si>
    <t>Month 2</t>
  </si>
  <si>
    <t>ndarray; shape/dimensions; indexing; reshaping; broadcasting; vectorization; Boolean masks; aggregations; statistics.</t>
  </si>
  <si>
    <t>NumPy beginner guide. Compare loops with vectorized operations on transaction data.</t>
  </si>
  <si>
    <t>Transaction analytics engine for revenue, averages, outliers, percentiles and category summaries.</t>
  </si>
  <si>
    <t>Notebook comparing loop and vectorized solutions.</t>
  </si>
  <si>
    <t>Series/DataFrame/index; CSV/JSON/Excel/Parquet I/O; filtering; sorting; missing values; duplicates; data types; schema checks.</t>
  </si>
  <si>
    <t>Pandas getting-started tutorials; Kaggle public dataset. Introduce nulls, duplicates and bad types.</t>
  </si>
  <si>
    <t>Customer data cleansing pipeline standardizing names/emails, handling nulls and duplicates.</t>
  </si>
  <si>
    <t>Cleaned Parquet dataset plus data-quality report.</t>
  </si>
  <si>
    <t>groupby/agg/transform/apply; merge/join/concat; pivot/melt; dates; resampling; rolling windows; vectorized strings.</t>
  </si>
  <si>
    <t>Pandas merging and groupby guides. Solve 15 SQL-style problems in Pandas.</t>
  </si>
  <si>
    <t>Sales/customer analytics: join orders/customers/products; monthly revenue, repeat purchases, top products, lifetime spend.</t>
  </si>
  <si>
    <t>Notebook with 8+ validated business metrics.</t>
  </si>
  <si>
    <t>Memory usage; efficient dtypes; chunked CSV; profiling; plotting; distributions; correlations; outliers; Pandas vs Spark.</t>
  </si>
  <si>
    <t>Pandas scaling guide. Benchmark increasing dataset sizes and chunked vs full-file processing.</t>
  </si>
  <si>
    <t>Local data profiler reporting schema, nulls, duplicates, summaries and processing duration.</t>
  </si>
  <si>
    <t>CLI profiler with chunked processing.</t>
  </si>
  <si>
    <t>Month 3</t>
  </si>
  <si>
    <t>Distributed computing; driver/executors; partitions/tasks; SparkSession; lazy evaluation; transformations/actions; schemas; CSV/JSON/Parquet.</t>
  </si>
  <si>
    <t>Apache Spark overview and SQL/DataFrame guide; Databricks Free Edition where available. Compare SQL/Pandas/PySpark.</t>
  </si>
  <si>
    <t>First distributed ingestion pipeline with schema, filters and Parquet output.</t>
  </si>
  <si>
    <t>PySpark notebook with schema, transformations and validation.</t>
  </si>
  <si>
    <t>select/filter/withColumn/when; casts; null handling; deduplication; built-in functions; expressions; schema enforcement.</t>
  </si>
  <si>
    <t>Spark SQL/DataFrame guide. Rewrite 15 Pandas transformations in PySpark.</t>
  </si>
  <si>
    <t>Transaction cleansing: standardized schema, quarantined invalid rows and rejection reasons.</t>
  </si>
  <si>
    <t>Parameterized cleansing notebook with explicit schemas.</t>
  </si>
  <si>
    <t>Inner/left/right/full/semi/anti joins; groupBy/agg; window specs; row_number/rank/dense_rank/lag/lead; business-key deduplication.</t>
  </si>
  <si>
    <t>PySpark window function docs. Solve SQL interview problems in DataFrames.</t>
  </si>
  <si>
    <t>Customer 360 with lifetime spend, latest purchase, top products and transaction rankings.</t>
  </si>
  <si>
    <t>Curated customer analytics table reconciled against SQL.</t>
  </si>
  <si>
    <t>Narrow/wide transformations; shuffles; jobs/stages/tasks; explain/physical plans; Spark UI; repartition/coalesce; broadcast; cache; skew.</t>
  </si>
  <si>
    <t>Spark tuning guide. Compare joins and inspect plans, shuffle and runtime metrics.</t>
  </si>
  <si>
    <t>Performance lab comparing 2–3 implementations of a transformation pipeline.</t>
  </si>
  <si>
    <t>Reproducible benchmark report with plans and metrics.</t>
  </si>
  <si>
    <t>Month 4</t>
  </si>
  <si>
    <t>Arrays/maps/structs; explode; nested JSON; UDF vs Pandas UDF vs built-ins; dates/timezones; reusable transformations/config.</t>
  </si>
  <si>
    <t>PySpark API reference. Flatten nested API payloads and compare built-in expression to UDF.</t>
  </si>
  <si>
    <t>API-to-lakehouse prototype parsing nested JSON and producing curated Parquet.</t>
  </si>
  <si>
    <t>Modular pipeline with configuration, logging and quality checks.</t>
  </si>
  <si>
    <t>Workspace, notebooks, compute; Python/PySpark/SQL; files/volumes/catalog-schema-table; parameters/widgets; Git folders; Unity Catalog intro.</t>
  </si>
  <si>
    <t>Databricks Python guide and DataFrame tutorial; use Free Edition subject to current limits.</t>
  </si>
  <si>
    <t>Databricks onboarding notebook reading, validating, transforming and writing a table.</t>
  </si>
  <si>
    <t>Parameterized notebook with execution statistics.</t>
  </si>
  <si>
    <t>Delta transaction log; ACID; MERGE; inserts/updates/deletes; schema enforcement/evolution; time travel/history/restore; managed/external tables.</t>
  </si>
  <si>
    <t>Delta Lake docs. Create a Delta table, modify rows, inspect history and test time travel where supported.</t>
  </si>
  <si>
    <t>Incremental customer master with inserts, updates and deletes.</t>
  </si>
  <si>
    <t>Idempotent upsert pipeline with reconciliation.</t>
  </si>
  <si>
    <t>Bronze/Silver/Gold; raw vs clean vs aggregate; lineage; quality; Unity Catalog objects/permissions; dimensional modeling.</t>
  </si>
  <si>
    <t>Databricks medallion architecture docs. Design e-commerce layers.</t>
  </si>
  <si>
    <t>Three-layer pipeline for orders, customers and products.</t>
  </si>
  <si>
    <t>Three Delta layers, documented transformations and quality results.</t>
  </si>
  <si>
    <t>Month 5</t>
  </si>
  <si>
    <t>Full vs incremental loads; watermarks; CDC; insert/update/delete; idempotency; retries; late-arriving records; deduplication.</t>
  </si>
  <si>
    <t>Databricks ETL/CDC tutorials. Simulate daily extracts and rerun same batch.</t>
  </si>
  <si>
    <t>Incremental customer/order pipeline with batch status and audit records.</t>
  </si>
  <si>
    <t>Restartable incremental pipeline with duplicate protection.</t>
  </si>
  <si>
    <t>AQE; broadcast joins; skew mitigation; shuffle reduction; file sizes; pruning; pushdown; compaction; data skipping; OPTIMIZE/clustering where supported.</t>
  </si>
  <si>
    <t>Databricks optimization docs. Benchmark baseline vs optimized workload.</t>
  </si>
  <si>
    <t>Optimize slow sales pipeline and document bottlenecks.</t>
  </si>
  <si>
    <t>Report with runtime, shuffle/file metrics and rationale.</t>
  </si>
  <si>
    <t>Batch vs streaming; micro-batches; sources/sinks; checkpoints; event time; watermarks; late events; deduplication; streaming to Delta.</t>
  </si>
  <si>
    <t>Spark Structured Streaming guide. Simulate events via small files and test restart.</t>
  </si>
  <si>
    <t>Near-real-time transaction monitoring with time-window aggregates.</t>
  </si>
  <si>
    <t>Streaming notebook with checkpointing and recovery notes.</t>
  </si>
  <si>
    <t>Databricks Jobs; task dependencies; parameters; schedules; retries/timeouts; alerts; run history; configuration; secrets; recovery.</t>
  </si>
  <si>
    <t>Databricks Jobs docs. Split pipeline into ingestion, transform and aggregation tasks.</t>
  </si>
  <si>
    <t>Scheduled ETL workflow with dependencies and failure handling.</t>
  </si>
  <si>
    <t>Runnable workflow, execution log and rerun-safety evidence.</t>
  </si>
  <si>
    <t>Month 6</t>
  </si>
  <si>
    <t>Null/unique/referential/business checks; unit/integration tests; schema drift; data contracts; Unity Catalog privileges/lineage; PII; least privilege.</t>
  </si>
  <si>
    <t>Unity Catalog docs. Introduce duplicates, missing keys, invalid dates; test failure paths.</t>
  </si>
  <si>
    <t>Reusable data-quality framework with pass/fail, rejected records and reasons.</t>
  </si>
  <si>
    <t>Tests and quality summary preventing silent bad data.</t>
  </si>
  <si>
    <t>Python packages; Git branches/PRs; automated tests; Databricks Asset Bundles; environment variables; dev/test/prod separation.</t>
  </si>
  <si>
    <t>Databricks Asset Bundles docs and GitHub Skills. Package notebook logic and configure deployment.</t>
  </si>
  <si>
    <t>Deployable ETL package with reusable code, tests and job configuration.</t>
  </si>
  <si>
    <t>Repository with deployment instructions and environment configuration.</t>
  </si>
  <si>
    <t>Requirements; source-target mapping; architecture; batch/incremental ingestion; layer design; contracts; audit columns; technical design.</t>
  </si>
  <si>
    <t>Databricks learning resources. Choose retail/e-commerce/banking transactions dataset; design before coding.</t>
  </si>
  <si>
    <t>Capstone architecture and working Bronze/Silver ingestion.</t>
  </si>
  <si>
    <t>Architecture diagram, requirements, mapping and ingestion notebook.</t>
  </si>
  <si>
    <t>Joins/windows; deduplication; incremental MERGE; SCD Type 1/2; late data; Gold aggregations; source-target reconciliation.</t>
  </si>
  <si>
    <t>Implement SCD Type 1 and 2; test duplicates, corrections, late and deleted records.</t>
  </si>
  <si>
    <t>Customer dimension, transaction fact and Gold reporting tables.</t>
  </si>
  <si>
    <t>Transformation pipeline with SCD, audit columns and reconciliation tests.</t>
  </si>
  <si>
    <t>Evidence-based tuning; quality gates; regression tests; scheduling/retries; idempotency; monitoring; runtime/counts/failures; cost awareness.</t>
  </si>
  <si>
    <t>Benchmark capstone baseline; inject failures and verify recovery.</t>
  </si>
  <si>
    <t>Production-readiness upgrade with tests, monitoring, recovery and optimization.</t>
  </si>
  <si>
    <t>Measured benchmark and documented recovery procedure.</t>
  </si>
  <si>
    <t>Release docs; design trade-offs; Spark troubleshooting; code review; handover; interview practice; measured impact presentation.</t>
  </si>
  <si>
    <t>Review official Databricks docs; mock interviews on Python, Pandas, PySpark, Spark internals and Delta Lake.</t>
  </si>
  <si>
    <t>Publish portfolio-ready capstone with README, architecture, tests, benchmarks and deployment steps.</t>
  </si>
  <si>
    <t>Complete project demo and repository.</t>
  </si>
  <si>
    <t>Day</t>
  </si>
  <si>
    <t>Suggested Session Focus</t>
  </si>
  <si>
    <t>Detailed Task / Practice</t>
  </si>
  <si>
    <t>Weekly Project Connection</t>
  </si>
  <si>
    <t>Planned Hours</t>
  </si>
  <si>
    <t>Planned Date</t>
  </si>
  <si>
    <t>Actual Hours</t>
  </si>
  <si>
    <t>Evidence / Notes</t>
  </si>
  <si>
    <t>GitHub Commit / Link</t>
  </si>
  <si>
    <t>Day 1</t>
  </si>
  <si>
    <t>Learn core concepts</t>
  </si>
  <si>
    <t>Read/watch the week’s core material and write concise notes. Focus on: Python basics and programming logic. Key topics: Variables; primitive data types; type conversion; operators; conditionals; loops; notebook/script execution.</t>
  </si>
  <si>
    <t>ETL validation utility: validate employee IDs and salaries; separate valid and rejected records. — session 1/7: scope and plan</t>
  </si>
  <si>
    <t>Day 2</t>
  </si>
  <si>
    <t>Follow guided examples</t>
  </si>
  <si>
    <t>Recreate 2–3 examples without copy-pasting; explain each step in your own words. Focus on: Python basics and programming logic. Key topics: Variables; primitive data types; type conversion; operators; conditionals; loops; notebook/script execution.</t>
  </si>
  <si>
    <t>ETL validation utility: validate employee IDs and salaries; separate valid and rejected records. — session 2/7: examples and setup</t>
  </si>
  <si>
    <t>Day 3</t>
  </si>
  <si>
    <t>Focused exercises</t>
  </si>
  <si>
    <t>Solve small exercises related to the week’s key concepts. Focus on: Python basics and programming logic. Key topics: Variables; primitive data types; type conversion; operators; conditionals; loops; notebook/script execution.</t>
  </si>
  <si>
    <t>ETL validation utility: validate employee IDs and salaries; separate valid and rejected records. — session 3/7: first implementation</t>
  </si>
  <si>
    <t>Day 4</t>
  </si>
  <si>
    <t>Apply to realistic data</t>
  </si>
  <si>
    <t>Use a sample dataset; implement transformations and inspect edge cases. Focus on: Python basics and programming logic. Key topics: Variables; primitive data types; type conversion; operators; conditionals; loops; notebook/script execution.</t>
  </si>
  <si>
    <t>ETL validation utility: validate employee IDs and salaries; separate valid and rejected records. — session 4/7: data transformation</t>
  </si>
  <si>
    <t>Day 5</t>
  </si>
  <si>
    <t>Debug and deepen</t>
  </si>
  <si>
    <t>Test nulls, duplicates, invalid input and edge cases; profile or inspect output where relevant. Focus on: Python basics and programming logic. Key topics: Variables; primitive data types; type conversion; operators; conditionals; loops; notebook/script execution.</t>
  </si>
  <si>
    <t>ETL validation utility: validate employee IDs and salaries; separate valid and rejected records. — session 5/7: edge cases and validation</t>
  </si>
  <si>
    <t>Build mini-project</t>
  </si>
  <si>
    <t>Implement the next part of the weekly mini-project and commit your work to Git. Focus on: Python basics and programming logic. Key topics: Variables; primitive data types; type conversion; operators; conditionals; loops; notebook/script execution.</t>
  </si>
  <si>
    <t>ETL validation utility: validate employee IDs and salaries; separate valid and rejected records. — session 6/7: implementation and integration</t>
  </si>
  <si>
    <t>Review and deliver</t>
  </si>
  <si>
    <t>Finish deliverable, validate results, write README/notes and record lessons learned. Focus on: Python basics and programming logic. Key topics: Variables; primitive data types; type conversion; operators; conditionals; loops; notebook/script execution.</t>
  </si>
  <si>
    <t>ETL validation utility: validate employee IDs and salaries; separate valid and rejected records. — session 7/7: final validation and documentation</t>
  </si>
  <si>
    <t>Read/watch the week’s core material and write concise notes. Focus on: Data structures and functions. Key topics: Lists, tuples, sets, dictionaries; indexing/slicing; comprehensions; functions; parameters; return values; lambda; scope; nested JSON.</t>
  </si>
  <si>
    <t>API response transformer: extract customers, calculate order totals, group orders, identify duplicate IDs. — session 1/7: scope and plan</t>
  </si>
  <si>
    <t>Recreate 2–3 examples without copy-pasting; explain each step in your own words. Focus on: Data structures and functions. Key topics: Lists, tuples, sets, dictionaries; indexing/slicing; comprehensions; functions; parameters; return values; lambda; scope; nested JSON.</t>
  </si>
  <si>
    <t>API response transformer: extract customers, calculate order totals, group orders, identify duplicate IDs. — session 2/7: examples and setup</t>
  </si>
  <si>
    <t>Solve small exercises related to the week’s key concepts. Focus on: Data structures and functions. Key topics: Lists, tuples, sets, dictionaries; indexing/slicing; comprehensions; functions; parameters; return values; lambda; scope; nested JSON.</t>
  </si>
  <si>
    <t>API response transformer: extract customers, calculate order totals, group orders, identify duplicate IDs. — session 3/7: first implementation</t>
  </si>
  <si>
    <t>Use a sample dataset; implement transformations and inspect edge cases. Focus on: Data structures and functions. Key topics: Lists, tuples, sets, dictionaries; indexing/slicing; comprehensions; functions; parameters; return values; lambda; scope; nested JSON.</t>
  </si>
  <si>
    <t>API response transformer: extract customers, calculate order totals, group orders, identify duplicate IDs. — session 4/7: data transformation</t>
  </si>
  <si>
    <t>Test nulls, duplicates, invalid input and edge cases; profile or inspect output where relevant. Focus on: Data structures and functions. Key topics: Lists, tuples, sets, dictionaries; indexing/slicing; comprehensions; functions; parameters; return values; lambda; scope; nested JSON.</t>
  </si>
  <si>
    <t>API response transformer: extract customers, calculate order totals, group orders, identify duplicate IDs. — session 5/7: edge cases and validation</t>
  </si>
  <si>
    <t>Implement the next part of the weekly mini-project and commit your work to Git. Focus on: Data structures and functions. Key topics: Lists, tuples, sets, dictionaries; indexing/slicing; comprehensions; functions; parameters; return values; lambda; scope; nested JSON.</t>
  </si>
  <si>
    <t>API response transformer: extract customers, calculate order totals, group orders, identify duplicate IDs. — session 6/7: implementation and integration</t>
  </si>
  <si>
    <t>Finish deliverable, validate results, write README/notes and record lessons learned. Focus on: Data structures and functions. Key topics: Lists, tuples, sets, dictionaries; indexing/slicing; comprehensions; functions; parameters; return values; lambda; scope; nested JSON.</t>
  </si>
  <si>
    <t>API response transformer: extract customers, calculate order totals, group orders, identify duplicate IDs. — session 7/7: final validation and documentation</t>
  </si>
  <si>
    <t>Read/watch the week’s core material and write concise notes. Focus on: Files, exceptions and reusable code. Key topics: CSV/JSON/text files; exceptions; logging; modules/packages; virtual environments; type hints; docstrings; OOP basics.</t>
  </si>
  <si>
    <t>File-based ETL framework: read CSVs, validate schemas, consolidate outputs, quarantine rejects. — session 1/7: scope and plan</t>
  </si>
  <si>
    <t>Recreate 2–3 examples without copy-pasting; explain each step in your own words. Focus on: Files, exceptions and reusable code. Key topics: CSV/JSON/text files; exceptions; logging; modules/packages; virtual environments; type hints; docstrings; OOP basics.</t>
  </si>
  <si>
    <t>File-based ETL framework: read CSVs, validate schemas, consolidate outputs, quarantine rejects. — session 2/7: examples and setup</t>
  </si>
  <si>
    <t>Solve small exercises related to the week’s key concepts. Focus on: Files, exceptions and reusable code. Key topics: CSV/JSON/text files; exceptions; logging; modules/packages; virtual environments; type hints; docstrings; OOP basics.</t>
  </si>
  <si>
    <t>File-based ETL framework: read CSVs, validate schemas, consolidate outputs, quarantine rejects. — session 3/7: first implementation</t>
  </si>
  <si>
    <t>Use a sample dataset; implement transformations and inspect edge cases. Focus on: Files, exceptions and reusable code. Key topics: CSV/JSON/text files; exceptions; logging; modules/packages; virtual environments; type hints; docstrings; OOP basics.</t>
  </si>
  <si>
    <t>File-based ETL framework: read CSVs, validate schemas, consolidate outputs, quarantine rejects. — session 4/7: data transformation</t>
  </si>
  <si>
    <t>Test nulls, duplicates, invalid input and edge cases; profile or inspect output where relevant. Focus on: Files, exceptions and reusable code. Key topics: CSV/JSON/text files; exceptions; logging; modules/packages; virtual environments; type hints; docstrings; OOP basics.</t>
  </si>
  <si>
    <t>File-based ETL framework: read CSVs, validate schemas, consolidate outputs, quarantine rejects. — session 5/7: edge cases and validation</t>
  </si>
  <si>
    <t>Implement the next part of the weekly mini-project and commit your work to Git. Focus on: Files, exceptions and reusable code. Key topics: CSV/JSON/text files; exceptions; logging; modules/packages; virtual environments; type hints; docstrings; OOP basics.</t>
  </si>
  <si>
    <t>File-based ETL framework: read CSVs, validate schemas, consolidate outputs, quarantine rejects. — session 6/7: implementation and integration</t>
  </si>
  <si>
    <t>Finish deliverable, validate results, write README/notes and record lessons learned. Focus on: Files, exceptions and reusable code. Key topics: CSV/JSON/text files; exceptions; logging; modules/packages; virtual environments; type hints; docstrings; OOP basics.</t>
  </si>
  <si>
    <t>File-based ETL framework: read CSVs, validate schemas, consolidate outputs, quarantine rejects. — session 7/7: final validation and documentation</t>
  </si>
  <si>
    <t>Read/watch the week’s core material and write concise notes. Focus on: Advanced Python fundamentals and testing. Key topics: Iterators/generators; decorators; context managers; shallow/deep copy; pytest; mocking basics; Git basics.</t>
  </si>
  <si>
    <t>Production-style CSV processing package split into ingestion, validation, transformation, logging and config. — session 1/7: scope and plan</t>
  </si>
  <si>
    <t>Recreate 2–3 examples without copy-pasting; explain each step in your own words. Focus on: Advanced Python fundamentals and testing. Key topics: Iterators/generators; decorators; context managers; shallow/deep copy; pytest; mocking basics; Git basics.</t>
  </si>
  <si>
    <t>Production-style CSV processing package split into ingestion, validation, transformation, logging and config. — session 2/7: examples and setup</t>
  </si>
  <si>
    <t>Solve small exercises related to the week’s key concepts. Focus on: Advanced Python fundamentals and testing. Key topics: Iterators/generators; decorators; context managers; shallow/deep copy; pytest; mocking basics; Git basics.</t>
  </si>
  <si>
    <t>Production-style CSV processing package split into ingestion, validation, transformation, logging and config. — session 3/7: first implementation</t>
  </si>
  <si>
    <t>Use a sample dataset; implement transformations and inspect edge cases. Focus on: Advanced Python fundamentals and testing. Key topics: Iterators/generators; decorators; context managers; shallow/deep copy; pytest; mocking basics; Git basics.</t>
  </si>
  <si>
    <t>Production-style CSV processing package split into ingestion, validation, transformation, logging and config. — session 4/7: data transformation</t>
  </si>
  <si>
    <t>Test nulls, duplicates, invalid input and edge cases; profile or inspect output where relevant. Focus on: Advanced Python fundamentals and testing. Key topics: Iterators/generators; decorators; context managers; shallow/deep copy; pytest; mocking basics; Git basics.</t>
  </si>
  <si>
    <t>Production-style CSV processing package split into ingestion, validation, transformation, logging and config. — session 5/7: edge cases and validation</t>
  </si>
  <si>
    <t>Implement the next part of the weekly mini-project and commit your work to Git. Focus on: Advanced Python fundamentals and testing. Key topics: Iterators/generators; decorators; context managers; shallow/deep copy; pytest; mocking basics; Git basics.</t>
  </si>
  <si>
    <t>Production-style CSV processing package split into ingestion, validation, transformation, logging and config. — session 6/7: implementation and integration</t>
  </si>
  <si>
    <t>Finish deliverable, validate results, write README/notes and record lessons learned. Focus on: Advanced Python fundamentals and testing. Key topics: Iterators/generators; decorators; context managers; shallow/deep copy; pytest; mocking basics; Git basics.</t>
  </si>
  <si>
    <t>Production-style CSV processing package split into ingestion, validation, transformation, logging and config. — session 7/7: final validation and documentation</t>
  </si>
  <si>
    <t>Read/watch the week’s core material and write concise notes. Focus on: NumPy fundamentals. Key topics: ndarray; shape/dimensions; indexing; reshaping; broadcasting; vectorization; Boolean masks; aggregations; statistics.</t>
  </si>
  <si>
    <t>Transaction analytics engine for revenue, averages, outliers, percentiles and category summaries. — session 1/7: scope and plan</t>
  </si>
  <si>
    <t>Recreate 2–3 examples without copy-pasting; explain each step in your own words. Focus on: NumPy fundamentals. Key topics: ndarray; shape/dimensions; indexing; reshaping; broadcasting; vectorization; Boolean masks; aggregations; statistics.</t>
  </si>
  <si>
    <t>Transaction analytics engine for revenue, averages, outliers, percentiles and category summaries. — session 2/7: examples and setup</t>
  </si>
  <si>
    <t>Solve small exercises related to the week’s key concepts. Focus on: NumPy fundamentals. Key topics: ndarray; shape/dimensions; indexing; reshaping; broadcasting; vectorization; Boolean masks; aggregations; statistics.</t>
  </si>
  <si>
    <t>Transaction analytics engine for revenue, averages, outliers, percentiles and category summaries. — session 3/7: first implementation</t>
  </si>
  <si>
    <t>Use a sample dataset; implement transformations and inspect edge cases. Focus on: NumPy fundamentals. Key topics: ndarray; shape/dimensions; indexing; reshaping; broadcasting; vectorization; Boolean masks; aggregations; statistics.</t>
  </si>
  <si>
    <t>Transaction analytics engine for revenue, averages, outliers, percentiles and category summaries. — session 4/7: data transformation</t>
  </si>
  <si>
    <t>Test nulls, duplicates, invalid input and edge cases; profile or inspect output where relevant. Focus on: NumPy fundamentals. Key topics: ndarray; shape/dimensions; indexing; reshaping; broadcasting; vectorization; Boolean masks; aggregations; statistics.</t>
  </si>
  <si>
    <t>Transaction analytics engine for revenue, averages, outliers, percentiles and category summaries. — session 5/7: edge cases and validation</t>
  </si>
  <si>
    <t>Implement the next part of the weekly mini-project and commit your work to Git. Focus on: NumPy fundamentals. Key topics: ndarray; shape/dimensions; indexing; reshaping; broadcasting; vectorization; Boolean masks; aggregations; statistics.</t>
  </si>
  <si>
    <t>Transaction analytics engine for revenue, averages, outliers, percentiles and category summaries. — session 6/7: implementation and integration</t>
  </si>
  <si>
    <t>Finish deliverable, validate results, write README/notes and record lessons learned. Focus on: NumPy fundamentals. Key topics: ndarray; shape/dimensions; indexing; reshaping; broadcasting; vectorization; Boolean masks; aggregations; statistics.</t>
  </si>
  <si>
    <t>Transaction analytics engine for revenue, averages, outliers, percentiles and category summaries. — session 7/7: final validation and documentation</t>
  </si>
  <si>
    <t>Read/watch the week’s core material and write concise notes. Focus on: Pandas DataFrames and data cleaning. Key topics: Series/DataFrame/index; CSV/JSON/Excel/Parquet I/O; filtering; sorting; missing values; duplicates; data types; schema checks.</t>
  </si>
  <si>
    <t>Customer data cleansing pipeline standardizing names/emails, handling nulls and duplicates. — session 1/7: scope and plan</t>
  </si>
  <si>
    <t>Recreate 2–3 examples without copy-pasting; explain each step in your own words. Focus on: Pandas DataFrames and data cleaning. Key topics: Series/DataFrame/index; CSV/JSON/Excel/Parquet I/O; filtering; sorting; missing values; duplicates; data types; schema checks.</t>
  </si>
  <si>
    <t>Customer data cleansing pipeline standardizing names/emails, handling nulls and duplicates. — session 2/7: examples and setup</t>
  </si>
  <si>
    <t>Solve small exercises related to the week’s key concepts. Focus on: Pandas DataFrames and data cleaning. Key topics: Series/DataFrame/index; CSV/JSON/Excel/Parquet I/O; filtering; sorting; missing values; duplicates; data types; schema checks.</t>
  </si>
  <si>
    <t>Customer data cleansing pipeline standardizing names/emails, handling nulls and duplicates. — session 3/7: first implementation</t>
  </si>
  <si>
    <t>Use a sample dataset; implement transformations and inspect edge cases. Focus on: Pandas DataFrames and data cleaning. Key topics: Series/DataFrame/index; CSV/JSON/Excel/Parquet I/O; filtering; sorting; missing values; duplicates; data types; schema checks.</t>
  </si>
  <si>
    <t>Customer data cleansing pipeline standardizing names/emails, handling nulls and duplicates. — session 4/7: data transformation</t>
  </si>
  <si>
    <t>Test nulls, duplicates, invalid input and edge cases; profile or inspect output where relevant. Focus on: Pandas DataFrames and data cleaning. Key topics: Series/DataFrame/index; CSV/JSON/Excel/Parquet I/O; filtering; sorting; missing values; duplicates; data types; schema checks.</t>
  </si>
  <si>
    <t>Customer data cleansing pipeline standardizing names/emails, handling nulls and duplicates. — session 5/7: edge cases and validation</t>
  </si>
  <si>
    <t>Implement the next part of the weekly mini-project and commit your work to Git. Focus on: Pandas DataFrames and data cleaning. Key topics: Series/DataFrame/index; CSV/JSON/Excel/Parquet I/O; filtering; sorting; missing values; duplicates; data types; schema checks.</t>
  </si>
  <si>
    <t>Customer data cleansing pipeline standardizing names/emails, handling nulls and duplicates. — session 6/7: implementation and integration</t>
  </si>
  <si>
    <t>Finish deliverable, validate results, write README/notes and record lessons learned. Focus on: Pandas DataFrames and data cleaning. Key topics: Series/DataFrame/index; CSV/JSON/Excel/Parquet I/O; filtering; sorting; missing values; duplicates; data types; schema checks.</t>
  </si>
  <si>
    <t>Customer data cleansing pipeline standardizing names/emails, handling nulls and duplicates. — session 7/7: final validation and documentation</t>
  </si>
  <si>
    <t>Read/watch the week’s core material and write concise notes. Focus on: Advanced Pandas transformations. Key topics: groupby/agg/transform/apply; merge/join/concat; pivot/melt; dates; resampling; rolling windows; vectorized strings.</t>
  </si>
  <si>
    <t>Sales/customer analytics: join orders/customers/products; monthly revenue, repeat purchases, top products, lifetime spend. — session 1/7: scope and plan</t>
  </si>
  <si>
    <t>Recreate 2–3 examples without copy-pasting; explain each step in your own words. Focus on: Advanced Pandas transformations. Key topics: groupby/agg/transform/apply; merge/join/concat; pivot/melt; dates; resampling; rolling windows; vectorized strings.</t>
  </si>
  <si>
    <t>Sales/customer analytics: join orders/customers/products; monthly revenue, repeat purchases, top products, lifetime spend. — session 2/7: examples and setup</t>
  </si>
  <si>
    <t>Solve small exercises related to the week’s key concepts. Focus on: Advanced Pandas transformations. Key topics: groupby/agg/transform/apply; merge/join/concat; pivot/melt; dates; resampling; rolling windows; vectorized strings.</t>
  </si>
  <si>
    <t>Sales/customer analytics: join orders/customers/products; monthly revenue, repeat purchases, top products, lifetime spend. — session 3/7: first implementation</t>
  </si>
  <si>
    <t>Use a sample dataset; implement transformations and inspect edge cases. Focus on: Advanced Pandas transformations. Key topics: groupby/agg/transform/apply; merge/join/concat; pivot/melt; dates; resampling; rolling windows; vectorized strings.</t>
  </si>
  <si>
    <t>Sales/customer analytics: join orders/customers/products; monthly revenue, repeat purchases, top products, lifetime spend. — session 4/7: data transformation</t>
  </si>
  <si>
    <t>Test nulls, duplicates, invalid input and edge cases; profile or inspect output where relevant. Focus on: Advanced Pandas transformations. Key topics: groupby/agg/transform/apply; merge/join/concat; pivot/melt; dates; resampling; rolling windows; vectorized strings.</t>
  </si>
  <si>
    <t>Sales/customer analytics: join orders/customers/products; monthly revenue, repeat purchases, top products, lifetime spend. — session 5/7: edge cases and validation</t>
  </si>
  <si>
    <t>Implement the next part of the weekly mini-project and commit your work to Git. Focus on: Advanced Pandas transformations. Key topics: groupby/agg/transform/apply; merge/join/concat; pivot/melt; dates; resampling; rolling windows; vectorized strings.</t>
  </si>
  <si>
    <t>Sales/customer analytics: join orders/customers/products; monthly revenue, repeat purchases, top products, lifetime spend. — session 6/7: implementation and integration</t>
  </si>
  <si>
    <t>Finish deliverable, validate results, write README/notes and record lessons learned. Focus on: Advanced Pandas transformations. Key topics: groupby/agg/transform/apply; merge/join/concat; pivot/melt; dates; resampling; rolling windows; vectorized strings.</t>
  </si>
  <si>
    <t>Sales/customer analytics: join orders/customers/products; monthly revenue, repeat purchases, top products, lifetime spend. — session 7/7: final validation and documentation</t>
  </si>
  <si>
    <t>Read/watch the week’s core material and write concise notes. Focus on: Pandas performance and data analysis. Key topics: Memory usage; efficient dtypes; chunked CSV; profiling; plotting; distributions; correlations; outliers; Pandas vs Spark.</t>
  </si>
  <si>
    <t>Local data profiler reporting schema, nulls, duplicates, summaries and processing duration. — session 1/7: scope and plan</t>
  </si>
  <si>
    <t>Recreate 2–3 examples without copy-pasting; explain each step in your own words. Focus on: Pandas performance and data analysis. Key topics: Memory usage; efficient dtypes; chunked CSV; profiling; plotting; distributions; correlations; outliers; Pandas vs Spark.</t>
  </si>
  <si>
    <t>Local data profiler reporting schema, nulls, duplicates, summaries and processing duration. — session 2/7: examples and setup</t>
  </si>
  <si>
    <t>Solve small exercises related to the week’s key concepts. Focus on: Pandas performance and data analysis. Key topics: Memory usage; efficient dtypes; chunked CSV; profiling; plotting; distributions; correlations; outliers; Pandas vs Spark.</t>
  </si>
  <si>
    <t>Local data profiler reporting schema, nulls, duplicates, summaries and processing duration. — session 3/7: first implementation</t>
  </si>
  <si>
    <t>Use a sample dataset; implement transformations and inspect edge cases. Focus on: Pandas performance and data analysis. Key topics: Memory usage; efficient dtypes; chunked CSV; profiling; plotting; distributions; correlations; outliers; Pandas vs Spark.</t>
  </si>
  <si>
    <t>Local data profiler reporting schema, nulls, duplicates, summaries and processing duration. — session 4/7: data transformation</t>
  </si>
  <si>
    <t>Test nulls, duplicates, invalid input and edge cases; profile or inspect output where relevant. Focus on: Pandas performance and data analysis. Key topics: Memory usage; efficient dtypes; chunked CSV; profiling; plotting; distributions; correlations; outliers; Pandas vs Spark.</t>
  </si>
  <si>
    <t>Local data profiler reporting schema, nulls, duplicates, summaries and processing duration. — session 5/7: edge cases and validation</t>
  </si>
  <si>
    <t>Implement the next part of the weekly mini-project and commit your work to Git. Focus on: Pandas performance and data analysis. Key topics: Memory usage; efficient dtypes; chunked CSV; profiling; plotting; distributions; correlations; outliers; Pandas vs Spark.</t>
  </si>
  <si>
    <t>Local data profiler reporting schema, nulls, duplicates, summaries and processing duration. — session 6/7: implementation and integration</t>
  </si>
  <si>
    <t>Finish deliverable, validate results, write README/notes and record lessons learned. Focus on: Pandas performance and data analysis. Key topics: Memory usage; efficient dtypes; chunked CSV; profiling; plotting; distributions; correlations; outliers; Pandas vs Spark.</t>
  </si>
  <si>
    <t>Local data profiler reporting schema, nulls, duplicates, summaries and processing duration. — session 7/7: final validation and documentation</t>
  </si>
  <si>
    <t>Read/watch the week’s core material and write concise notes. Focus on: Spark architecture and PySpark setup. Key topics: Distributed computing; driver/executors; partitions/tasks; SparkSession; lazy evaluation; transformations/actions; schemas; CSV/JSON/Parquet.</t>
  </si>
  <si>
    <t>First distributed ingestion pipeline with schema, filters and Parquet output. — session 1/7: scope and plan</t>
  </si>
  <si>
    <t>Recreate 2–3 examples without copy-pasting; explain each step in your own words. Focus on: Spark architecture and PySpark setup. Key topics: Distributed computing; driver/executors; partitions/tasks; SparkSession; lazy evaluation; transformations/actions; schemas; CSV/JSON/Parquet.</t>
  </si>
  <si>
    <t>First distributed ingestion pipeline with schema, filters and Parquet output. — session 2/7: examples and setup</t>
  </si>
  <si>
    <t>Solve small exercises related to the week’s key concepts. Focus on: Spark architecture and PySpark setup. Key topics: Distributed computing; driver/executors; partitions/tasks; SparkSession; lazy evaluation; transformations/actions; schemas; CSV/JSON/Parquet.</t>
  </si>
  <si>
    <t>First distributed ingestion pipeline with schema, filters and Parquet output. — session 3/7: first implementation</t>
  </si>
  <si>
    <t>Use a sample dataset; implement transformations and inspect edge cases. Focus on: Spark architecture and PySpark setup. Key topics: Distributed computing; driver/executors; partitions/tasks; SparkSession; lazy evaluation; transformations/actions; schemas; CSV/JSON/Parquet.</t>
  </si>
  <si>
    <t>First distributed ingestion pipeline with schema, filters and Parquet output. — session 4/7: data transformation</t>
  </si>
  <si>
    <t>Test nulls, duplicates, invalid input and edge cases; profile or inspect output where relevant. Focus on: Spark architecture and PySpark setup. Key topics: Distributed computing; driver/executors; partitions/tasks; SparkSession; lazy evaluation; transformations/actions; schemas; CSV/JSON/Parquet.</t>
  </si>
  <si>
    <t>First distributed ingestion pipeline with schema, filters and Parquet output. — session 5/7: edge cases and validation</t>
  </si>
  <si>
    <t>Implement the next part of the weekly mini-project and commit your work to Git. Focus on: Spark architecture and PySpark setup. Key topics: Distributed computing; driver/executors; partitions/tasks; SparkSession; lazy evaluation; transformations/actions; schemas; CSV/JSON/Parquet.</t>
  </si>
  <si>
    <t>First distributed ingestion pipeline with schema, filters and Parquet output. — session 6/7: implementation and integration</t>
  </si>
  <si>
    <t>Finish deliverable, validate results, write README/notes and record lessons learned. Focus on: Spark architecture and PySpark setup. Key topics: Distributed computing; driver/executors; partitions/tasks; SparkSession; lazy evaluation; transformations/actions; schemas; CSV/JSON/Parquet.</t>
  </si>
  <si>
    <t>First distributed ingestion pipeline with schema, filters and Parquet output. — session 7/7: final validation and documentation</t>
  </si>
  <si>
    <t>Read/watch the week’s core material and write concise notes. Focus on: PySpark DataFrame transformations. Key topics: select/filter/withColumn/when; casts; null handling; deduplication; built-in functions; expressions; schema enforcement.</t>
  </si>
  <si>
    <t>Transaction cleansing: standardized schema, quarantined invalid rows and rejection reasons. — session 1/7: scope and plan</t>
  </si>
  <si>
    <t>Recreate 2–3 examples without copy-pasting; explain each step in your own words. Focus on: PySpark DataFrame transformations. Key topics: select/filter/withColumn/when; casts; null handling; deduplication; built-in functions; expressions; schema enforcement.</t>
  </si>
  <si>
    <t>Transaction cleansing: standardized schema, quarantined invalid rows and rejection reasons. — session 2/7: examples and setup</t>
  </si>
  <si>
    <t>Solve small exercises related to the week’s key concepts. Focus on: PySpark DataFrame transformations. Key topics: select/filter/withColumn/when; casts; null handling; deduplication; built-in functions; expressions; schema enforcement.</t>
  </si>
  <si>
    <t>Transaction cleansing: standardized schema, quarantined invalid rows and rejection reasons. — session 3/7: first implementation</t>
  </si>
  <si>
    <t>Use a sample dataset; implement transformations and inspect edge cases. Focus on: PySpark DataFrame transformations. Key topics: select/filter/withColumn/when; casts; null handling; deduplication; built-in functions; expressions; schema enforcement.</t>
  </si>
  <si>
    <t>Transaction cleansing: standardized schema, quarantined invalid rows and rejection reasons. — session 4/7: data transformation</t>
  </si>
  <si>
    <t>Test nulls, duplicates, invalid input and edge cases; profile or inspect output where relevant. Focus on: PySpark DataFrame transformations. Key topics: select/filter/withColumn/when; casts; null handling; deduplication; built-in functions; expressions; schema enforcement.</t>
  </si>
  <si>
    <t>Transaction cleansing: standardized schema, quarantined invalid rows and rejection reasons. — session 5/7: edge cases and validation</t>
  </si>
  <si>
    <t>Implement the next part of the weekly mini-project and commit your work to Git. Focus on: PySpark DataFrame transformations. Key topics: select/filter/withColumn/when; casts; null handling; deduplication; built-in functions; expressions; schema enforcement.</t>
  </si>
  <si>
    <t>Transaction cleansing: standardized schema, quarantined invalid rows and rejection reasons. — session 6/7: implementation and integration</t>
  </si>
  <si>
    <t>Finish deliverable, validate results, write README/notes and record lessons learned. Focus on: PySpark DataFrame transformations. Key topics: select/filter/withColumn/when; casts; null handling; deduplication; built-in functions; expressions; schema enforcement.</t>
  </si>
  <si>
    <t>Transaction cleansing: standardized schema, quarantined invalid rows and rejection reasons. — session 7/7: final validation and documentation</t>
  </si>
  <si>
    <t>Read/watch the week’s core material and write concise notes. Focus on: Joins, aggregations and windows. Key topics: Inner/left/right/full/semi/anti joins; groupBy/agg; window specs; row_number/rank/dense_rank/lag/lead; business-key deduplication.</t>
  </si>
  <si>
    <t>Customer 360 with lifetime spend, latest purchase, top products and transaction rankings. — session 1/7: scope and plan</t>
  </si>
  <si>
    <t>Recreate 2–3 examples without copy-pasting; explain each step in your own words. Focus on: Joins, aggregations and windows. Key topics: Inner/left/right/full/semi/anti joins; groupBy/agg; window specs; row_number/rank/dense_rank/lag/lead; business-key deduplication.</t>
  </si>
  <si>
    <t>Customer 360 with lifetime spend, latest purchase, top products and transaction rankings. — session 2/7: examples and setup</t>
  </si>
  <si>
    <t>Solve small exercises related to the week’s key concepts. Focus on: Joins, aggregations and windows. Key topics: Inner/left/right/full/semi/anti joins; groupBy/agg; window specs; row_number/rank/dense_rank/lag/lead; business-key deduplication.</t>
  </si>
  <si>
    <t>Customer 360 with lifetime spend, latest purchase, top products and transaction rankings. — session 3/7: first implementation</t>
  </si>
  <si>
    <t>Use a sample dataset; implement transformations and inspect edge cases. Focus on: Joins, aggregations and windows. Key topics: Inner/left/right/full/semi/anti joins; groupBy/agg; window specs; row_number/rank/dense_rank/lag/lead; business-key deduplication.</t>
  </si>
  <si>
    <t>Customer 360 with lifetime spend, latest purchase, top products and transaction rankings. — session 4/7: data transformation</t>
  </si>
  <si>
    <t>Test nulls, duplicates, invalid input and edge cases; profile or inspect output where relevant. Focus on: Joins, aggregations and windows. Key topics: Inner/left/right/full/semi/anti joins; groupBy/agg; window specs; row_number/rank/dense_rank/lag/lead; business-key deduplication.</t>
  </si>
  <si>
    <t>Customer 360 with lifetime spend, latest purchase, top products and transaction rankings. — session 5/7: edge cases and validation</t>
  </si>
  <si>
    <t>Implement the next part of the weekly mini-project and commit your work to Git. Focus on: Joins, aggregations and windows. Key topics: Inner/left/right/full/semi/anti joins; groupBy/agg; window specs; row_number/rank/dense_rank/lag/lead; business-key deduplication.</t>
  </si>
  <si>
    <t>Customer 360 with lifetime spend, latest purchase, top products and transaction rankings. — session 6/7: implementation and integration</t>
  </si>
  <si>
    <t>Finish deliverable, validate results, write README/notes and record lessons learned. Focus on: Joins, aggregations and windows. Key topics: Inner/left/right/full/semi/anti joins; groupBy/agg; window specs; row_number/rank/dense_rank/lag/lead; business-key deduplication.</t>
  </si>
  <si>
    <t>Customer 360 with lifetime spend, latest purchase, top products and transaction rankings. — session 7/7: final validation and documentation</t>
  </si>
  <si>
    <t>Read/watch the week’s core material and write concise notes. Focus on: Spark internals and performance. Key topics: Narrow/wide transformations; shuffles; jobs/stages/tasks; explain/physical plans; Spark UI; repartition/coalesce; broadcast; cache; skew.</t>
  </si>
  <si>
    <t>Performance lab comparing 2–3 implementations of a transformation pipeline. — session 1/7: scope and plan</t>
  </si>
  <si>
    <t>Recreate 2–3 examples without copy-pasting; explain each step in your own words. Focus on: Spark internals and performance. Key topics: Narrow/wide transformations; shuffles; jobs/stages/tasks; explain/physical plans; Spark UI; repartition/coalesce; broadcast; cache; skew.</t>
  </si>
  <si>
    <t>Performance lab comparing 2–3 implementations of a transformation pipeline. — session 2/7: examples and setup</t>
  </si>
  <si>
    <t>Solve small exercises related to the week’s key concepts. Focus on: Spark internals and performance. Key topics: Narrow/wide transformations; shuffles; jobs/stages/tasks; explain/physical plans; Spark UI; repartition/coalesce; broadcast; cache; skew.</t>
  </si>
  <si>
    <t>Performance lab comparing 2–3 implementations of a transformation pipeline. — session 3/7: first implementation</t>
  </si>
  <si>
    <t>Use a sample dataset; implement transformations and inspect edge cases. Focus on: Spark internals and performance. Key topics: Narrow/wide transformations; shuffles; jobs/stages/tasks; explain/physical plans; Spark UI; repartition/coalesce; broadcast; cache; skew.</t>
  </si>
  <si>
    <t>Performance lab comparing 2–3 implementations of a transformation pipeline. — session 4/7: data transformation</t>
  </si>
  <si>
    <t>Test nulls, duplicates, invalid input and edge cases; profile or inspect output where relevant. Focus on: Spark internals and performance. Key topics: Narrow/wide transformations; shuffles; jobs/stages/tasks; explain/physical plans; Spark UI; repartition/coalesce; broadcast; cache; skew.</t>
  </si>
  <si>
    <t>Performance lab comparing 2–3 implementations of a transformation pipeline. — session 5/7: edge cases and validation</t>
  </si>
  <si>
    <t>Implement the next part of the weekly mini-project and commit your work to Git. Focus on: Spark internals and performance. Key topics: Narrow/wide transformations; shuffles; jobs/stages/tasks; explain/physical plans; Spark UI; repartition/coalesce; broadcast; cache; skew.</t>
  </si>
  <si>
    <t>Performance lab comparing 2–3 implementations of a transformation pipeline. — session 6/7: implementation and integration</t>
  </si>
  <si>
    <t>Finish deliverable, validate results, write README/notes and record lessons learned. Focus on: Spark internals and performance. Key topics: Narrow/wide transformations; shuffles; jobs/stages/tasks; explain/physical plans; Spark UI; repartition/coalesce; broadcast; cache; skew.</t>
  </si>
  <si>
    <t>Performance lab comparing 2–3 implementations of a transformation pipeline. — session 7/7: final validation and documentation</t>
  </si>
  <si>
    <t>Read/watch the week’s core material and write concise notes. Focus on: Advanced PySpark patterns. Key topics: Arrays/maps/structs; explode; nested JSON; UDF vs Pandas UDF vs built-ins; dates/timezones; reusable transformations/config.</t>
  </si>
  <si>
    <t>API-to-lakehouse prototype parsing nested JSON and producing curated Parquet. — session 1/7: scope and plan</t>
  </si>
  <si>
    <t>Recreate 2–3 examples without copy-pasting; explain each step in your own words. Focus on: Advanced PySpark patterns. Key topics: Arrays/maps/structs; explode; nested JSON; UDF vs Pandas UDF vs built-ins; dates/timezones; reusable transformations/config.</t>
  </si>
  <si>
    <t>API-to-lakehouse prototype parsing nested JSON and producing curated Parquet. — session 2/7: examples and setup</t>
  </si>
  <si>
    <t>Solve small exercises related to the week’s key concepts. Focus on: Advanced PySpark patterns. Key topics: Arrays/maps/structs; explode; nested JSON; UDF vs Pandas UDF vs built-ins; dates/timezones; reusable transformations/config.</t>
  </si>
  <si>
    <t>API-to-lakehouse prototype parsing nested JSON and producing curated Parquet. — session 3/7: first implementation</t>
  </si>
  <si>
    <t>Use a sample dataset; implement transformations and inspect edge cases. Focus on: Advanced PySpark patterns. Key topics: Arrays/maps/structs; explode; nested JSON; UDF vs Pandas UDF vs built-ins; dates/timezones; reusable transformations/config.</t>
  </si>
  <si>
    <t>API-to-lakehouse prototype parsing nested JSON and producing curated Parquet. — session 4/7: data transformation</t>
  </si>
  <si>
    <t>Test nulls, duplicates, invalid input and edge cases; profile or inspect output where relevant. Focus on: Advanced PySpark patterns. Key topics: Arrays/maps/structs; explode; nested JSON; UDF vs Pandas UDF vs built-ins; dates/timezones; reusable transformations/config.</t>
  </si>
  <si>
    <t>API-to-lakehouse prototype parsing nested JSON and producing curated Parquet. — session 5/7: edge cases and validation</t>
  </si>
  <si>
    <t>Implement the next part of the weekly mini-project and commit your work to Git. Focus on: Advanced PySpark patterns. Key topics: Arrays/maps/structs; explode; nested JSON; UDF vs Pandas UDF vs built-ins; dates/timezones; reusable transformations/config.</t>
  </si>
  <si>
    <t>API-to-lakehouse prototype parsing nested JSON and producing curated Parquet. — session 6/7: implementation and integration</t>
  </si>
  <si>
    <t>Finish deliverable, validate results, write README/notes and record lessons learned. Focus on: Advanced PySpark patterns. Key topics: Arrays/maps/structs; explode; nested JSON; UDF vs Pandas UDF vs built-ins; dates/timezones; reusable transformations/config.</t>
  </si>
  <si>
    <t>API-to-lakehouse prototype parsing nested JSON and producing curated Parquet. — session 7/7: final validation and documentation</t>
  </si>
  <si>
    <t>Read/watch the week’s core material and write concise notes. Focus on: Databricks workspace and notebooks. Key topics: Workspace, notebooks, compute; Python/PySpark/SQL; files/volumes/catalog-schema-table; parameters/widgets; Git folders; Unity Catalog intro.</t>
  </si>
  <si>
    <t>Databricks onboarding notebook reading, validating, transforming and writing a table. — session 1/7: scope and plan</t>
  </si>
  <si>
    <t>Recreate 2–3 examples without copy-pasting; explain each step in your own words. Focus on: Databricks workspace and notebooks. Key topics: Workspace, notebooks, compute; Python/PySpark/SQL; files/volumes/catalog-schema-table; parameters/widgets; Git folders; Unity Catalog intro.</t>
  </si>
  <si>
    <t>Databricks onboarding notebook reading, validating, transforming and writing a table. — session 2/7: examples and setup</t>
  </si>
  <si>
    <t>Solve small exercises related to the week’s key concepts. Focus on: Databricks workspace and notebooks. Key topics: Workspace, notebooks, compute; Python/PySpark/SQL; files/volumes/catalog-schema-table; parameters/widgets; Git folders; Unity Catalog intro.</t>
  </si>
  <si>
    <t>Databricks onboarding notebook reading, validating, transforming and writing a table. — session 3/7: first implementation</t>
  </si>
  <si>
    <t>Use a sample dataset; implement transformations and inspect edge cases. Focus on: Databricks workspace and notebooks. Key topics: Workspace, notebooks, compute; Python/PySpark/SQL; files/volumes/catalog-schema-table; parameters/widgets; Git folders; Unity Catalog intro.</t>
  </si>
  <si>
    <t>Databricks onboarding notebook reading, validating, transforming and writing a table. — session 4/7: data transformation</t>
  </si>
  <si>
    <t>Test nulls, duplicates, invalid input and edge cases; profile or inspect output where relevant. Focus on: Databricks workspace and notebooks. Key topics: Workspace, notebooks, compute; Python/PySpark/SQL; files/volumes/catalog-schema-table; parameters/widgets; Git folders; Unity Catalog intro.</t>
  </si>
  <si>
    <t>Databricks onboarding notebook reading, validating, transforming and writing a table. — session 5/7: edge cases and validation</t>
  </si>
  <si>
    <t>Implement the next part of the weekly mini-project and commit your work to Git. Focus on: Databricks workspace and notebooks. Key topics: Workspace, notebooks, compute; Python/PySpark/SQL; files/volumes/catalog-schema-table; parameters/widgets; Git folders; Unity Catalog intro.</t>
  </si>
  <si>
    <t>Databricks onboarding notebook reading, validating, transforming and writing a table. — session 6/7: implementation and integration</t>
  </si>
  <si>
    <t>Finish deliverable, validate results, write README/notes and record lessons learned. Focus on: Databricks workspace and notebooks. Key topics: Workspace, notebooks, compute; Python/PySpark/SQL; files/volumes/catalog-schema-table; parameters/widgets; Git folders; Unity Catalog intro.</t>
  </si>
  <si>
    <t>Databricks onboarding notebook reading, validating, transforming and writing a table. — session 7/7: final validation and documentation</t>
  </si>
  <si>
    <t>Read/watch the week’s core material and write concise notes. Focus on: Delta Lake fundamentals. Key topics: Delta transaction log; ACID; MERGE; inserts/updates/deletes; schema enforcement/evolution; time travel/history/restore; managed/external tables.</t>
  </si>
  <si>
    <t>Incremental customer master with inserts, updates and deletes. — session 1/7: scope and plan</t>
  </si>
  <si>
    <t>Recreate 2–3 examples without copy-pasting; explain each step in your own words. Focus on: Delta Lake fundamentals. Key topics: Delta transaction log; ACID; MERGE; inserts/updates/deletes; schema enforcement/evolution; time travel/history/restore; managed/external tables.</t>
  </si>
  <si>
    <t>Incremental customer master with inserts, updates and deletes. — session 2/7: examples and setup</t>
  </si>
  <si>
    <t>Solve small exercises related to the week’s key concepts. Focus on: Delta Lake fundamentals. Key topics: Delta transaction log; ACID; MERGE; inserts/updates/deletes; schema enforcement/evolution; time travel/history/restore; managed/external tables.</t>
  </si>
  <si>
    <t>Incremental customer master with inserts, updates and deletes. — session 3/7: first implementation</t>
  </si>
  <si>
    <t>Use a sample dataset; implement transformations and inspect edge cases. Focus on: Delta Lake fundamentals. Key topics: Delta transaction log; ACID; MERGE; inserts/updates/deletes; schema enforcement/evolution; time travel/history/restore; managed/external tables.</t>
  </si>
  <si>
    <t>Incremental customer master with inserts, updates and deletes. — session 4/7: data transformation</t>
  </si>
  <si>
    <t>Test nulls, duplicates, invalid input and edge cases; profile or inspect output where relevant. Focus on: Delta Lake fundamentals. Key topics: Delta transaction log; ACID; MERGE; inserts/updates/deletes; schema enforcement/evolution; time travel/history/restore; managed/external tables.</t>
  </si>
  <si>
    <t>Incremental customer master with inserts, updates and deletes. — session 5/7: edge cases and validation</t>
  </si>
  <si>
    <t>Implement the next part of the weekly mini-project and commit your work to Git. Focus on: Delta Lake fundamentals. Key topics: Delta transaction log; ACID; MERGE; inserts/updates/deletes; schema enforcement/evolution; time travel/history/restore; managed/external tables.</t>
  </si>
  <si>
    <t>Incremental customer master with inserts, updates and deletes. — session 6/7: implementation and integration</t>
  </si>
  <si>
    <t>Finish deliverable, validate results, write README/notes and record lessons learned. Focus on: Delta Lake fundamentals. Key topics: Delta transaction log; ACID; MERGE; inserts/updates/deletes; schema enforcement/evolution; time travel/history/restore; managed/external tables.</t>
  </si>
  <si>
    <t>Incremental customer master with inserts, updates and deletes. — session 7/7: final validation and documentation</t>
  </si>
  <si>
    <t>Read/watch the week’s core material and write concise notes. Focus on: Lakehouse and medallion architecture. Key topics: Bronze/Silver/Gold; raw vs clean vs aggregate; lineage; quality; Unity Catalog objects/permissions; dimensional modeling.</t>
  </si>
  <si>
    <t>Three-layer pipeline for orders, customers and products. — session 1/7: scope and plan</t>
  </si>
  <si>
    <t>Recreate 2–3 examples without copy-pasting; explain each step in your own words. Focus on: Lakehouse and medallion architecture. Key topics: Bronze/Silver/Gold; raw vs clean vs aggregate; lineage; quality; Unity Catalog objects/permissions; dimensional modeling.</t>
  </si>
  <si>
    <t>Three-layer pipeline for orders, customers and products. — session 2/7: examples and setup</t>
  </si>
  <si>
    <t>Solve small exercises related to the week’s key concepts. Focus on: Lakehouse and medallion architecture. Key topics: Bronze/Silver/Gold; raw vs clean vs aggregate; lineage; quality; Unity Catalog objects/permissions; dimensional modeling.</t>
  </si>
  <si>
    <t>Three-layer pipeline for orders, customers and products. — session 3/7: first implementation</t>
  </si>
  <si>
    <t>Use a sample dataset; implement transformations and inspect edge cases. Focus on: Lakehouse and medallion architecture. Key topics: Bronze/Silver/Gold; raw vs clean vs aggregate; lineage; quality; Unity Catalog objects/permissions; dimensional modeling.</t>
  </si>
  <si>
    <t>Three-layer pipeline for orders, customers and products. — session 4/7: data transformation</t>
  </si>
  <si>
    <t>Test nulls, duplicates, invalid input and edge cases; profile or inspect output where relevant. Focus on: Lakehouse and medallion architecture. Key topics: Bronze/Silver/Gold; raw vs clean vs aggregate; lineage; quality; Unity Catalog objects/permissions; dimensional modeling.</t>
  </si>
  <si>
    <t>Three-layer pipeline for orders, customers and products. — session 5/7: edge cases and validation</t>
  </si>
  <si>
    <t>Implement the next part of the weekly mini-project and commit your work to Git. Focus on: Lakehouse and medallion architecture. Key topics: Bronze/Silver/Gold; raw vs clean vs aggregate; lineage; quality; Unity Catalog objects/permissions; dimensional modeling.</t>
  </si>
  <si>
    <t>Three-layer pipeline for orders, customers and products. — session 6/7: implementation and integration</t>
  </si>
  <si>
    <t>Finish deliverable, validate results, write README/notes and record lessons learned. Focus on: Lakehouse and medallion architecture. Key topics: Bronze/Silver/Gold; raw vs clean vs aggregate; lineage; quality; Unity Catalog objects/permissions; dimensional modeling.</t>
  </si>
  <si>
    <t>Three-layer pipeline for orders, customers and products. — session 7/7: final validation and documentation</t>
  </si>
  <si>
    <t>Read/watch the week’s core material and write concise notes. Focus on: Incremental processing and CDC. Key topics: Full vs incremental loads; watermarks; CDC; insert/update/delete; idempotency; retries; late-arriving records; deduplication.</t>
  </si>
  <si>
    <t>Incremental customer/order pipeline with batch status and audit records. — session 1/7: scope and plan</t>
  </si>
  <si>
    <t>Recreate 2–3 examples without copy-pasting; explain each step in your own words. Focus on: Incremental processing and CDC. Key topics: Full vs incremental loads; watermarks; CDC; insert/update/delete; idempotency; retries; late-arriving records; deduplication.</t>
  </si>
  <si>
    <t>Incremental customer/order pipeline with batch status and audit records. — session 2/7: examples and setup</t>
  </si>
  <si>
    <t>Solve small exercises related to the week’s key concepts. Focus on: Incremental processing and CDC. Key topics: Full vs incremental loads; watermarks; CDC; insert/update/delete; idempotency; retries; late-arriving records; deduplication.</t>
  </si>
  <si>
    <t>Incremental customer/order pipeline with batch status and audit records. — session 3/7: first implementation</t>
  </si>
  <si>
    <t>Use a sample dataset; implement transformations and inspect edge cases. Focus on: Incremental processing and CDC. Key topics: Full vs incremental loads; watermarks; CDC; insert/update/delete; idempotency; retries; late-arriving records; deduplication.</t>
  </si>
  <si>
    <t>Incremental customer/order pipeline with batch status and audit records. — session 4/7: data transformation</t>
  </si>
  <si>
    <t>Test nulls, duplicates, invalid input and edge cases; profile or inspect output where relevant. Focus on: Incremental processing and CDC. Key topics: Full vs incremental loads; watermarks; CDC; insert/update/delete; idempotency; retries; late-arriving records; deduplication.</t>
  </si>
  <si>
    <t>Incremental customer/order pipeline with batch status and audit records. — session 5/7: edge cases and validation</t>
  </si>
  <si>
    <t>Implement the next part of the weekly mini-project and commit your work to Git. Focus on: Incremental processing and CDC. Key topics: Full vs incremental loads; watermarks; CDC; insert/update/delete; idempotency; retries; late-arriving records; deduplication.</t>
  </si>
  <si>
    <t>Incremental customer/order pipeline with batch status and audit records. — session 6/7: implementation and integration</t>
  </si>
  <si>
    <t>Finish deliverable, validate results, write README/notes and record lessons learned. Focus on: Incremental processing and CDC. Key topics: Full vs incremental loads; watermarks; CDC; insert/update/delete; idempotency; retries; late-arriving records; deduplication.</t>
  </si>
  <si>
    <t>Incremental customer/order pipeline with batch status and audit records. — session 7/7: final validation and documentation</t>
  </si>
  <si>
    <t>Read/watch the week’s core material and write concise notes. Focus on: Advanced performance optimization. Key topics: AQE; broadcast joins; skew mitigation; shuffle reduction; file sizes; pruning; pushdown; compaction; data skipping; OPTIMIZE/clustering where supported.</t>
  </si>
  <si>
    <t>Optimize slow sales pipeline and document bottlenecks. — session 1/7: scope and plan</t>
  </si>
  <si>
    <t>Recreate 2–3 examples without copy-pasting; explain each step in your own words. Focus on: Advanced performance optimization. Key topics: AQE; broadcast joins; skew mitigation; shuffle reduction; file sizes; pruning; pushdown; compaction; data skipping; OPTIMIZE/clustering where supported.</t>
  </si>
  <si>
    <t>Optimize slow sales pipeline and document bottlenecks. — session 2/7: examples and setup</t>
  </si>
  <si>
    <t>Solve small exercises related to the week’s key concepts. Focus on: Advanced performance optimization. Key topics: AQE; broadcast joins; skew mitigation; shuffle reduction; file sizes; pruning; pushdown; compaction; data skipping; OPTIMIZE/clustering where supported.</t>
  </si>
  <si>
    <t>Optimize slow sales pipeline and document bottlenecks. — session 3/7: first implementation</t>
  </si>
  <si>
    <t>Use a sample dataset; implement transformations and inspect edge cases. Focus on: Advanced performance optimization. Key topics: AQE; broadcast joins; skew mitigation; shuffle reduction; file sizes; pruning; pushdown; compaction; data skipping; OPTIMIZE/clustering where supported.</t>
  </si>
  <si>
    <t>Optimize slow sales pipeline and document bottlenecks. — session 4/7: data transformation</t>
  </si>
  <si>
    <t>Test nulls, duplicates, invalid input and edge cases; profile or inspect output where relevant. Focus on: Advanced performance optimization. Key topics: AQE; broadcast joins; skew mitigation; shuffle reduction; file sizes; pruning; pushdown; compaction; data skipping; OPTIMIZE/clustering where supported.</t>
  </si>
  <si>
    <t>Optimize slow sales pipeline and document bottlenecks. — session 5/7: edge cases and validation</t>
  </si>
  <si>
    <t>Implement the next part of the weekly mini-project and commit your work to Git. Focus on: Advanced performance optimization. Key topics: AQE; broadcast joins; skew mitigation; shuffle reduction; file sizes; pruning; pushdown; compaction; data skipping; OPTIMIZE/clustering where supported.</t>
  </si>
  <si>
    <t>Optimize slow sales pipeline and document bottlenecks. — session 6/7: implementation and integration</t>
  </si>
  <si>
    <t>Finish deliverable, validate results, write README/notes and record lessons learned. Focus on: Advanced performance optimization. Key topics: AQE; broadcast joins; skew mitigation; shuffle reduction; file sizes; pruning; pushdown; compaction; data skipping; OPTIMIZE/clustering where supported.</t>
  </si>
  <si>
    <t>Optimize slow sales pipeline and document bottlenecks. — session 7/7: final validation and documentation</t>
  </si>
  <si>
    <t>Read/watch the week’s core material and write concise notes. Focus on: Structured Streaming. Key topics: Batch vs streaming; micro-batches; sources/sinks; checkpoints; event time; watermarks; late events; deduplication; streaming to Delta.</t>
  </si>
  <si>
    <t>Near-real-time transaction monitoring with time-window aggregates. — session 1/7: scope and plan</t>
  </si>
  <si>
    <t>Recreate 2–3 examples without copy-pasting; explain each step in your own words. Focus on: Structured Streaming. Key topics: Batch vs streaming; micro-batches; sources/sinks; checkpoints; event time; watermarks; late events; deduplication; streaming to Delta.</t>
  </si>
  <si>
    <t>Near-real-time transaction monitoring with time-window aggregates. — session 2/7: examples and setup</t>
  </si>
  <si>
    <t>Solve small exercises related to the week’s key concepts. Focus on: Structured Streaming. Key topics: Batch vs streaming; micro-batches; sources/sinks; checkpoints; event time; watermarks; late events; deduplication; streaming to Delta.</t>
  </si>
  <si>
    <t>Near-real-time transaction monitoring with time-window aggregates. — session 3/7: first implementation</t>
  </si>
  <si>
    <t>Use a sample dataset; implement transformations and inspect edge cases. Focus on: Structured Streaming. Key topics: Batch vs streaming; micro-batches; sources/sinks; checkpoints; event time; watermarks; late events; deduplication; streaming to Delta.</t>
  </si>
  <si>
    <t>Near-real-time transaction monitoring with time-window aggregates. — session 4/7: data transformation</t>
  </si>
  <si>
    <t>Test nulls, duplicates, invalid input and edge cases; profile or inspect output where relevant. Focus on: Structured Streaming. Key topics: Batch vs streaming; micro-batches; sources/sinks; checkpoints; event time; watermarks; late events; deduplication; streaming to Delta.</t>
  </si>
  <si>
    <t>Near-real-time transaction monitoring with time-window aggregates. — session 5/7: edge cases and validation</t>
  </si>
  <si>
    <t>Implement the next part of the weekly mini-project and commit your work to Git. Focus on: Structured Streaming. Key topics: Batch vs streaming; micro-batches; sources/sinks; checkpoints; event time; watermarks; late events; deduplication; streaming to Delta.</t>
  </si>
  <si>
    <t>Near-real-time transaction monitoring with time-window aggregates. — session 6/7: implementation and integration</t>
  </si>
  <si>
    <t>Finish deliverable, validate results, write README/notes and record lessons learned. Focus on: Structured Streaming. Key topics: Batch vs streaming; micro-batches; sources/sinks; checkpoints; event time; watermarks; late events; deduplication; streaming to Delta.</t>
  </si>
  <si>
    <t>Near-real-time transaction monitoring with time-window aggregates. — session 7/7: final validation and documentation</t>
  </si>
  <si>
    <t>Read/watch the week’s core material and write concise notes. Focus on: Workflow orchestration and operations. Key topics: Databricks Jobs; task dependencies; parameters; schedules; retries/timeouts; alerts; run history; configuration; secrets; recovery.</t>
  </si>
  <si>
    <t>Scheduled ETL workflow with dependencies and failure handling. — session 1/7: scope and plan</t>
  </si>
  <si>
    <t>Recreate 2–3 examples without copy-pasting; explain each step in your own words. Focus on: Workflow orchestration and operations. Key topics: Databricks Jobs; task dependencies; parameters; schedules; retries/timeouts; alerts; run history; configuration; secrets; recovery.</t>
  </si>
  <si>
    <t>Scheduled ETL workflow with dependencies and failure handling. — session 2/7: examples and setup</t>
  </si>
  <si>
    <t>Solve small exercises related to the week’s key concepts. Focus on: Workflow orchestration and operations. Key topics: Databricks Jobs; task dependencies; parameters; schedules; retries/timeouts; alerts; run history; configuration; secrets; recovery.</t>
  </si>
  <si>
    <t>Scheduled ETL workflow with dependencies and failure handling. — session 3/7: first implementation</t>
  </si>
  <si>
    <t>Use a sample dataset; implement transformations and inspect edge cases. Focus on: Workflow orchestration and operations. Key topics: Databricks Jobs; task dependencies; parameters; schedules; retries/timeouts; alerts; run history; configuration; secrets; recovery.</t>
  </si>
  <si>
    <t>Scheduled ETL workflow with dependencies and failure handling. — session 4/7: data transformation</t>
  </si>
  <si>
    <t>Test nulls, duplicates, invalid input and edge cases; profile or inspect output where relevant. Focus on: Workflow orchestration and operations. Key topics: Databricks Jobs; task dependencies; parameters; schedules; retries/timeouts; alerts; run history; configuration; secrets; recovery.</t>
  </si>
  <si>
    <t>Scheduled ETL workflow with dependencies and failure handling. — session 5/7: edge cases and validation</t>
  </si>
  <si>
    <t>Implement the next part of the weekly mini-project and commit your work to Git. Focus on: Workflow orchestration and operations. Key topics: Databricks Jobs; task dependencies; parameters; schedules; retries/timeouts; alerts; run history; configuration; secrets; recovery.</t>
  </si>
  <si>
    <t>Scheduled ETL workflow with dependencies and failure handling. — session 6/7: implementation and integration</t>
  </si>
  <si>
    <t>Finish deliverable, validate results, write README/notes and record lessons learned. Focus on: Workflow orchestration and operations. Key topics: Databricks Jobs; task dependencies; parameters; schedules; retries/timeouts; alerts; run history; configuration; secrets; recovery.</t>
  </si>
  <si>
    <t>Scheduled ETL workflow with dependencies and failure handling. — session 7/7: final validation and documentation</t>
  </si>
  <si>
    <t>Read/watch the week’s core material and write concise notes. Focus on: Data quality, testing and governance. Key topics: Null/unique/referential/business checks; unit/integration tests; schema drift; data contracts; Unity Catalog privileges/lineage; PII; least privilege.</t>
  </si>
  <si>
    <t>Reusable data-quality framework with pass/fail, rejected records and reasons. — session 1/7: scope and plan</t>
  </si>
  <si>
    <t>Recreate 2–3 examples without copy-pasting; explain each step in your own words. Focus on: Data quality, testing and governance. Key topics: Null/unique/referential/business checks; unit/integration tests; schema drift; data contracts; Unity Catalog privileges/lineage; PII; least privilege.</t>
  </si>
  <si>
    <t>Reusable data-quality framework with pass/fail, rejected records and reasons. — session 2/7: examples and setup</t>
  </si>
  <si>
    <t>Solve small exercises related to the week’s key concepts. Focus on: Data quality, testing and governance. Key topics: Null/unique/referential/business checks; unit/integration tests; schema drift; data contracts; Unity Catalog privileges/lineage; PII; least privilege.</t>
  </si>
  <si>
    <t>Reusable data-quality framework with pass/fail, rejected records and reasons. — session 3/7: first implementation</t>
  </si>
  <si>
    <t>Use a sample dataset; implement transformations and inspect edge cases. Focus on: Data quality, testing and governance. Key topics: Null/unique/referential/business checks; unit/integration tests; schema drift; data contracts; Unity Catalog privileges/lineage; PII; least privilege.</t>
  </si>
  <si>
    <t>Reusable data-quality framework with pass/fail, rejected records and reasons. — session 4/7: data transformation</t>
  </si>
  <si>
    <t>Test nulls, duplicates, invalid input and edge cases; profile or inspect output where relevant. Focus on: Data quality, testing and governance. Key topics: Null/unique/referential/business checks; unit/integration tests; schema drift; data contracts; Unity Catalog privileges/lineage; PII; least privilege.</t>
  </si>
  <si>
    <t>Reusable data-quality framework with pass/fail, rejected records and reasons. — session 5/7: edge cases and validation</t>
  </si>
  <si>
    <t>Implement the next part of the weekly mini-project and commit your work to Git. Focus on: Data quality, testing and governance. Key topics: Null/unique/referential/business checks; unit/integration tests; schema drift; data contracts; Unity Catalog privileges/lineage; PII; least privilege.</t>
  </si>
  <si>
    <t>Reusable data-quality framework with pass/fail, rejected records and reasons. — session 6/7: implementation and integration</t>
  </si>
  <si>
    <t>Finish deliverable, validate results, write README/notes and record lessons learned. Focus on: Data quality, testing and governance. Key topics: Null/unique/referential/business checks; unit/integration tests; schema drift; data contracts; Unity Catalog privileges/lineage; PII; least privilege.</t>
  </si>
  <si>
    <t>Reusable data-quality framework with pass/fail, rejected records and reasons. — session 7/7: final validation and documentation</t>
  </si>
  <si>
    <t>Read/watch the week’s core material and write concise notes. Focus on: Deployment, reusable code and CI/CD. Key topics: Python packages; Git branches/PRs; automated tests; Databricks Asset Bundles; environment variables; dev/test/prod separation.</t>
  </si>
  <si>
    <t>Deployable ETL package with reusable code, tests and job configuration. — session 1/7: scope and plan</t>
  </si>
  <si>
    <t>Recreate 2–3 examples without copy-pasting; explain each step in your own words. Focus on: Deployment, reusable code and CI/CD. Key topics: Python packages; Git branches/PRs; automated tests; Databricks Asset Bundles; environment variables; dev/test/prod separation.</t>
  </si>
  <si>
    <t>Deployable ETL package with reusable code, tests and job configuration. — session 2/7: examples and setup</t>
  </si>
  <si>
    <t>Solve small exercises related to the week’s key concepts. Focus on: Deployment, reusable code and CI/CD. Key topics: Python packages; Git branches/PRs; automated tests; Databricks Asset Bundles; environment variables; dev/test/prod separation.</t>
  </si>
  <si>
    <t>Deployable ETL package with reusable code, tests and job configuration. — session 3/7: first implementation</t>
  </si>
  <si>
    <t>Use a sample dataset; implement transformations and inspect edge cases. Focus on: Deployment, reusable code and CI/CD. Key topics: Python packages; Git branches/PRs; automated tests; Databricks Asset Bundles; environment variables; dev/test/prod separation.</t>
  </si>
  <si>
    <t>Deployable ETL package with reusable code, tests and job configuration. — session 4/7: data transformation</t>
  </si>
  <si>
    <t>Test nulls, duplicates, invalid input and edge cases; profile or inspect output where relevant. Focus on: Deployment, reusable code and CI/CD. Key topics: Python packages; Git branches/PRs; automated tests; Databricks Asset Bundles; environment variables; dev/test/prod separation.</t>
  </si>
  <si>
    <t>Deployable ETL package with reusable code, tests and job configuration. — session 5/7: edge cases and validation</t>
  </si>
  <si>
    <t>Implement the next part of the weekly mini-project and commit your work to Git. Focus on: Deployment, reusable code and CI/CD. Key topics: Python packages; Git branches/PRs; automated tests; Databricks Asset Bundles; environment variables; dev/test/prod separation.</t>
  </si>
  <si>
    <t>Deployable ETL package with reusable code, tests and job configuration. — session 6/7: implementation and integration</t>
  </si>
  <si>
    <t>Finish deliverable, validate results, write README/notes and record lessons learned. Focus on: Deployment, reusable code and CI/CD. Key topics: Python packages; Git branches/PRs; automated tests; Databricks Asset Bundles; environment variables; dev/test/prod separation.</t>
  </si>
  <si>
    <t>Deployable ETL package with reusable code, tests and job configuration. — session 7/7: final validation and documentation</t>
  </si>
  <si>
    <t>Read/watch the week’s core material and write concise notes. Focus on: Capstone design and ingestion. Key topics: Requirements; source-target mapping; architecture; batch/incremental ingestion; layer design; contracts; audit columns; technical design.</t>
  </si>
  <si>
    <t>Capstone architecture and working Bronze/Silver ingestion. — session 1/7: scope and plan</t>
  </si>
  <si>
    <t>Recreate 2–3 examples without copy-pasting; explain each step in your own words. Focus on: Capstone design and ingestion. Key topics: Requirements; source-target mapping; architecture; batch/incremental ingestion; layer design; contracts; audit columns; technical design.</t>
  </si>
  <si>
    <t>Capstone architecture and working Bronze/Silver ingestion. — session 2/7: examples and setup</t>
  </si>
  <si>
    <t>Solve small exercises related to the week’s key concepts. Focus on: Capstone design and ingestion. Key topics: Requirements; source-target mapping; architecture; batch/incremental ingestion; layer design; contracts; audit columns; technical design.</t>
  </si>
  <si>
    <t>Capstone architecture and working Bronze/Silver ingestion. — session 3/7: first implementation</t>
  </si>
  <si>
    <t>Use a sample dataset; implement transformations and inspect edge cases. Focus on: Capstone design and ingestion. Key topics: Requirements; source-target mapping; architecture; batch/incremental ingestion; layer design; contracts; audit columns; technical design.</t>
  </si>
  <si>
    <t>Capstone architecture and working Bronze/Silver ingestion. — session 4/7: data transformation</t>
  </si>
  <si>
    <t>Test nulls, duplicates, invalid input and edge cases; profile or inspect output where relevant. Focus on: Capstone design and ingestion. Key topics: Requirements; source-target mapping; architecture; batch/incremental ingestion; layer design; contracts; audit columns; technical design.</t>
  </si>
  <si>
    <t>Capstone architecture and working Bronze/Silver ingestion. — session 5/7: edge cases and validation</t>
  </si>
  <si>
    <t>Implement the next part of the weekly mini-project and commit your work to Git. Focus on: Capstone design and ingestion. Key topics: Requirements; source-target mapping; architecture; batch/incremental ingestion; layer design; contracts; audit columns; technical design.</t>
  </si>
  <si>
    <t>Capstone architecture and working Bronze/Silver ingestion. — session 6/7: implementation and integration</t>
  </si>
  <si>
    <t>Finish deliverable, validate results, write README/notes and record lessons learned. Focus on: Capstone design and ingestion. Key topics: Requirements; source-target mapping; architecture; batch/incremental ingestion; layer design; contracts; audit columns; technical design.</t>
  </si>
  <si>
    <t>Capstone architecture and working Bronze/Silver ingestion. — session 7/7: final validation and documentation</t>
  </si>
  <si>
    <t>Read/watch the week’s core material and write concise notes. Focus on: Capstone business transformations. Key topics: Joins/windows; deduplication; incremental MERGE; SCD Type 1/2; late data; Gold aggregations; source-target reconciliation.</t>
  </si>
  <si>
    <t>Customer dimension, transaction fact and Gold reporting tables. — session 1/7: scope and plan</t>
  </si>
  <si>
    <t>Recreate 2–3 examples without copy-pasting; explain each step in your own words. Focus on: Capstone business transformations. Key topics: Joins/windows; deduplication; incremental MERGE; SCD Type 1/2; late data; Gold aggregations; source-target reconciliation.</t>
  </si>
  <si>
    <t>Customer dimension, transaction fact and Gold reporting tables. — session 2/7: examples and setup</t>
  </si>
  <si>
    <t>Solve small exercises related to the week’s key concepts. Focus on: Capstone business transformations. Key topics: Joins/windows; deduplication; incremental MERGE; SCD Type 1/2; late data; Gold aggregations; source-target reconciliation.</t>
  </si>
  <si>
    <t>Customer dimension, transaction fact and Gold reporting tables. — session 3/7: first implementation</t>
  </si>
  <si>
    <t>Use a sample dataset; implement transformations and inspect edge cases. Focus on: Capstone business transformations. Key topics: Joins/windows; deduplication; incremental MERGE; SCD Type 1/2; late data; Gold aggregations; source-target reconciliation.</t>
  </si>
  <si>
    <t>Customer dimension, transaction fact and Gold reporting tables. — session 4/7: data transformation</t>
  </si>
  <si>
    <t>Test nulls, duplicates, invalid input and edge cases; profile or inspect output where relevant. Focus on: Capstone business transformations. Key topics: Joins/windows; deduplication; incremental MERGE; SCD Type 1/2; late data; Gold aggregations; source-target reconciliation.</t>
  </si>
  <si>
    <t>Customer dimension, transaction fact and Gold reporting tables. — session 5/7: edge cases and validation</t>
  </si>
  <si>
    <t>Implement the next part of the weekly mini-project and commit your work to Git. Focus on: Capstone business transformations. Key topics: Joins/windows; deduplication; incremental MERGE; SCD Type 1/2; late data; Gold aggregations; source-target reconciliation.</t>
  </si>
  <si>
    <t>Customer dimension, transaction fact and Gold reporting tables. — session 6/7: implementation and integration</t>
  </si>
  <si>
    <t>Finish deliverable, validate results, write README/notes and record lessons learned. Focus on: Capstone business transformations. Key topics: Joins/windows; deduplication; incremental MERGE; SCD Type 1/2; late data; Gold aggregations; source-target reconciliation.</t>
  </si>
  <si>
    <t>Customer dimension, transaction fact and Gold reporting tables. — session 7/7: final validation and documentation</t>
  </si>
  <si>
    <t>Read/watch the week’s core material and write concise notes. Focus on: Capstone optimization and operations. Key topics: Evidence-based tuning; quality gates; regression tests; scheduling/retries; idempotency; monitoring; runtime/counts/failures; cost awareness.</t>
  </si>
  <si>
    <t>Production-readiness upgrade with tests, monitoring, recovery and optimization. — session 1/7: scope and plan</t>
  </si>
  <si>
    <t>Recreate 2–3 examples without copy-pasting; explain each step in your own words. Focus on: Capstone optimization and operations. Key topics: Evidence-based tuning; quality gates; regression tests; scheduling/retries; idempotency; monitoring; runtime/counts/failures; cost awareness.</t>
  </si>
  <si>
    <t>Production-readiness upgrade with tests, monitoring, recovery and optimization. — session 2/7: examples and setup</t>
  </si>
  <si>
    <t>Solve small exercises related to the week’s key concepts. Focus on: Capstone optimization and operations. Key topics: Evidence-based tuning; quality gates; regression tests; scheduling/retries; idempotency; monitoring; runtime/counts/failures; cost awareness.</t>
  </si>
  <si>
    <t>Production-readiness upgrade with tests, monitoring, recovery and optimization. — session 3/7: first implementation</t>
  </si>
  <si>
    <t>Use a sample dataset; implement transformations and inspect edge cases. Focus on: Capstone optimization and operations. Key topics: Evidence-based tuning; quality gates; regression tests; scheduling/retries; idempotency; monitoring; runtime/counts/failures; cost awareness.</t>
  </si>
  <si>
    <t>Production-readiness upgrade with tests, monitoring, recovery and optimization. — session 4/7: data transformation</t>
  </si>
  <si>
    <t>Test nulls, duplicates, invalid input and edge cases; profile or inspect output where relevant. Focus on: Capstone optimization and operations. Key topics: Evidence-based tuning; quality gates; regression tests; scheduling/retries; idempotency; monitoring; runtime/counts/failures; cost awareness.</t>
  </si>
  <si>
    <t>Production-readiness upgrade with tests, monitoring, recovery and optimization. — session 5/7: edge cases and validation</t>
  </si>
  <si>
    <t>Implement the next part of the weekly mini-project and commit your work to Git. Focus on: Capstone optimization and operations. Key topics: Evidence-based tuning; quality gates; regression tests; scheduling/retries; idempotency; monitoring; runtime/counts/failures; cost awareness.</t>
  </si>
  <si>
    <t>Production-readiness upgrade with tests, monitoring, recovery and optimization. — session 6/7: implementation and integration</t>
  </si>
  <si>
    <t>Finish deliverable, validate results, write README/notes and record lessons learned. Focus on: Capstone optimization and operations. Key topics: Evidence-based tuning; quality gates; regression tests; scheduling/retries; idempotency; monitoring; runtime/counts/failures; cost awareness.</t>
  </si>
  <si>
    <t>Production-readiness upgrade with tests, monitoring, recovery and optimization. — session 7/7: final validation and documentation</t>
  </si>
  <si>
    <t>Read/watch the week’s core material and write concise notes. Focus on: Final deployment and portfolio. Key topics: Release docs; design trade-offs; Spark troubleshooting; code review; handover; interview practice; measured impact presentation.</t>
  </si>
  <si>
    <t>Publish portfolio-ready capstone with README, architecture, tests, benchmarks and deployment steps. — session 1/7: scope and plan</t>
  </si>
  <si>
    <t>Recreate 2–3 examples without copy-pasting; explain each step in your own words. Focus on: Final deployment and portfolio. Key topics: Release docs; design trade-offs; Spark troubleshooting; code review; handover; interview practice; measured impact presentation.</t>
  </si>
  <si>
    <t>Publish portfolio-ready capstone with README, architecture, tests, benchmarks and deployment steps. — session 2/7: examples and setup</t>
  </si>
  <si>
    <t>Solve small exercises related to the week’s key concepts. Focus on: Final deployment and portfolio. Key topics: Release docs; design trade-offs; Spark troubleshooting; code review; handover; interview practice; measured impact presentation.</t>
  </si>
  <si>
    <t>Publish portfolio-ready capstone with README, architecture, tests, benchmarks and deployment steps. — session 3/7: first implementation</t>
  </si>
  <si>
    <t>Use a sample dataset; implement transformations and inspect edge cases. Focus on: Final deployment and portfolio. Key topics: Release docs; design trade-offs; Spark troubleshooting; code review; handover; interview practice; measured impact presentation.</t>
  </si>
  <si>
    <t>Publish portfolio-ready capstone with README, architecture, tests, benchmarks and deployment steps. — session 4/7: data transformation</t>
  </si>
  <si>
    <t>Test nulls, duplicates, invalid input and edge cases; profile or inspect output where relevant. Focus on: Final deployment and portfolio. Key topics: Release docs; design trade-offs; Spark troubleshooting; code review; handover; interview practice; measured impact presentation.</t>
  </si>
  <si>
    <t>Publish portfolio-ready capstone with README, architecture, tests, benchmarks and deployment steps. — session 5/7: edge cases and validation</t>
  </si>
  <si>
    <t>Implement the next part of the weekly mini-project and commit your work to Git. Focus on: Final deployment and portfolio. Key topics: Release docs; design trade-offs; Spark troubleshooting; code review; handover; interview practice; measured impact presentation.</t>
  </si>
  <si>
    <t>Publish portfolio-ready capstone with README, architecture, tests, benchmarks and deployment steps. — session 6/7: implementation and integration</t>
  </si>
  <si>
    <t>Finish deliverable, validate results, write README/notes and record lessons learned. Focus on: Final deployment and portfolio. Key topics: Release docs; design trade-offs; Spark troubleshooting; code review; handover; interview practice; measured impact presentation.</t>
  </si>
  <si>
    <t>Publish portfolio-ready capstone with README, architecture, tests, benchmarks and deployment steps. — session 7/7: final validation and documentation</t>
  </si>
  <si>
    <t>Resource</t>
  </si>
  <si>
    <t>URL</t>
  </si>
  <si>
    <t>Relevant Weeks</t>
  </si>
  <si>
    <t>How to Use It</t>
  </si>
  <si>
    <t>Python official tutorial</t>
  </si>
  <si>
    <t>https://docs.python.org/3/tutorial/</t>
  </si>
  <si>
    <t>Weeks 1–4</t>
  </si>
  <si>
    <t>Core language, data structures, functions, files and modules.</t>
  </si>
  <si>
    <t>Python standard library</t>
  </si>
  <si>
    <t>https://docs.python.org/3/library/</t>
  </si>
  <si>
    <t>Weeks 3–4</t>
  </si>
  <si>
    <t>CSV/JSON, logging, pathlib, testing utilities.</t>
  </si>
  <si>
    <t>pytest documentation</t>
  </si>
  <si>
    <t>https://docs.pytest.org/</t>
  </si>
  <si>
    <t>Weeks 4, 21–26</t>
  </si>
  <si>
    <t>Testing and test organization.</t>
  </si>
  <si>
    <t>GitHub Skills</t>
  </si>
  <si>
    <t>https://skills.github.com/</t>
  </si>
  <si>
    <t>Throughout</t>
  </si>
  <si>
    <t>Git, GitHub workflows, repositories and collaboration.</t>
  </si>
  <si>
    <t>NumPy beginner guide</t>
  </si>
  <si>
    <t>https://numpy.org/doc/stable/user/absolute_beginners.html</t>
  </si>
  <si>
    <t>Week 5</t>
  </si>
  <si>
    <t>Arrays, indexing, vectorization and aggregations.</t>
  </si>
  <si>
    <t>Pandas getting started</t>
  </si>
  <si>
    <t>https://pandas.pydata.org/docs/getting_started/</t>
  </si>
  <si>
    <t>Weeks 6–8</t>
  </si>
  <si>
    <t>DataFrame basics and common operations.</t>
  </si>
  <si>
    <t>Pandas scaling guide</t>
  </si>
  <si>
    <t>https://pandas.pydata.org/docs/user_guide/scale.html</t>
  </si>
  <si>
    <t>Week 8</t>
  </si>
  <si>
    <t>Performance, memory and larger-than-memory data.</t>
  </si>
  <si>
    <t>Pandas merging guide</t>
  </si>
  <si>
    <t>https://pandas.pydata.org/docs/user_guide/merging.html</t>
  </si>
  <si>
    <t>Week 7</t>
  </si>
  <si>
    <t>Joins and concatenation.</t>
  </si>
  <si>
    <t>Pandas groupby guide</t>
  </si>
  <si>
    <t>https://pandas.pydata.org/docs/user_guide/groupby.html</t>
  </si>
  <si>
    <t>GroupBy and aggregation.</t>
  </si>
  <si>
    <t>Apache Spark documentation</t>
  </si>
  <si>
    <t>https://spark.apache.org/docs/latest/</t>
  </si>
  <si>
    <t>Weeks 9–13, 18–19</t>
  </si>
  <si>
    <t>Spark fundamentals and APIs.</t>
  </si>
  <si>
    <t>Spark SQL and DataFrames</t>
  </si>
  <si>
    <t>https://spark.apache.org/docs/latest/sql-programming-guide.html</t>
  </si>
  <si>
    <t>Weeks 9–13</t>
  </si>
  <si>
    <t>DataFrame API and SQL.</t>
  </si>
  <si>
    <t>Spark performance tuning</t>
  </si>
  <si>
    <t>https://spark.apache.org/docs/latest/sql-performance-tuning.html</t>
  </si>
  <si>
    <t>Weeks 12, 18, 25</t>
  </si>
  <si>
    <t>Joins, AQE and optimization.</t>
  </si>
  <si>
    <t>PySpark window API</t>
  </si>
  <si>
    <t>https://spark.apache.org/docs/latest/api/python/reference/pyspark.sql/window.html</t>
  </si>
  <si>
    <t>Week 11</t>
  </si>
  <si>
    <t>Window specifications.</t>
  </si>
  <si>
    <t>https://spark.apache.org/docs/latest/streaming/index.html</t>
  </si>
  <si>
    <t>Week 19</t>
  </si>
  <si>
    <t>Streaming, checkpoints and event-time processing.</t>
  </si>
  <si>
    <t>Databricks Free Edition</t>
  </si>
  <si>
    <t>https://www.databricks.com/learn/free-edition</t>
  </si>
  <si>
    <t>Weeks 9–26</t>
  </si>
  <si>
    <t>Hands-on platform practice; check current limits.</t>
  </si>
  <si>
    <t>Databricks Python guide</t>
  </si>
  <si>
    <t>https://docs.databricks.com/aws/en/languages/python</t>
  </si>
  <si>
    <t>Weeks 14–26</t>
  </si>
  <si>
    <t>Python and notebook use in Databricks.</t>
  </si>
  <si>
    <t>Databricks DataFrame tutorial</t>
  </si>
  <si>
    <t>https://docs.databricks.com/aws/en/getting-started/dataframes</t>
  </si>
  <si>
    <t>Week 14</t>
  </si>
  <si>
    <t>Getting started with DataFrames.</t>
  </si>
  <si>
    <t>Delta Lake documentation</t>
  </si>
  <si>
    <t>https://docs.delta.io/latest/index.html</t>
  </si>
  <si>
    <t>Weeks 15–17</t>
  </si>
  <si>
    <t>Delta tables and transaction capabilities.</t>
  </si>
  <si>
    <t>Medallion architecture</t>
  </si>
  <si>
    <t>https://docs.databricks.com/aws/en/lakehouse/medallion</t>
  </si>
  <si>
    <t>Week 16 and capstone</t>
  </si>
  <si>
    <t>Bronze/Silver/Gold architecture.</t>
  </si>
  <si>
    <t>Databricks optimization</t>
  </si>
  <si>
    <t>https://docs.databricks.com/aws/en/optimizations</t>
  </si>
  <si>
    <t>Weeks 18, 25</t>
  </si>
  <si>
    <t>Platform performance optimization.</t>
  </si>
  <si>
    <t>Databricks Jobs</t>
  </si>
  <si>
    <t>https://docs.databricks.com/aws/en/jobs/</t>
  </si>
  <si>
    <t>Week 20</t>
  </si>
  <si>
    <t>Workflow orchestration and operations.</t>
  </si>
  <si>
    <t>Unity Catalog</t>
  </si>
  <si>
    <t>https://docs.databricks.com/aws/en/data-governance/unity-catalog</t>
  </si>
  <si>
    <t>Week 21</t>
  </si>
  <si>
    <t>Governance, permissions and lineage.</t>
  </si>
  <si>
    <t>Databricks Asset Bundles</t>
  </si>
  <si>
    <t>https://docs.databricks.com/aws/en/dev-tools/bundles/</t>
  </si>
  <si>
    <t>Week 22</t>
  </si>
  <si>
    <t>Deployment and CI/CD foundations.</t>
  </si>
  <si>
    <t>Kaggle datasets</t>
  </si>
  <si>
    <t>https://www.kaggle.com/datasets</t>
  </si>
  <si>
    <t>Weeks 6 onward</t>
  </si>
  <si>
    <t>Public practice datasets.</t>
  </si>
  <si>
    <t>Google Colab</t>
  </si>
  <si>
    <t>https://colab.research.google.com/</t>
  </si>
  <si>
    <t>Weeks 1–8</t>
  </si>
  <si>
    <t>Browser-based Python notebooks.</t>
  </si>
  <si>
    <t>Create GitHub repository: databricks-data-engineering-journey</t>
  </si>
  <si>
    <t>Step</t>
  </si>
  <si>
    <t>Action</t>
  </si>
  <si>
    <t>Details / Example</t>
  </si>
  <si>
    <t>Done?</t>
  </si>
  <si>
    <t>1</t>
  </si>
  <si>
    <t>Create/sign in to GitHub</t>
  </si>
  <si>
    <t>Open https://github.com/ and sign in, or create an account. Enable two-factor authentication if possible.</t>
  </si>
  <si>
    <t>2</t>
  </si>
  <si>
    <t>Create a new repository</t>
  </si>
  <si>
    <t>Click the + menu (top-right) → New repository. Repository name: databricks-data-engineering-journey.</t>
  </si>
  <si>
    <t>3</t>
  </si>
  <si>
    <t>Choose visibility</t>
  </si>
  <si>
    <t>Choose Public if you want a portfolio, or Private while learning. Never upload company/client data, credentials, tokens, or proprietary code.</t>
  </si>
  <si>
    <t>4</t>
  </si>
  <si>
    <t>Initialize repository</t>
  </si>
  <si>
    <t>Add a README. Optionally add a Python .gitignore and choose a license only if you understand how you want others to reuse your work.</t>
  </si>
  <si>
    <t>5</t>
  </si>
  <si>
    <t>Create repository</t>
  </si>
  <si>
    <t>Click Create repository. Copy the repository URL shown by GitHub, e.g. https://github.com/YOUR-USERNAME/databricks-data-engineering-journey.git.</t>
  </si>
  <si>
    <t>6</t>
  </si>
  <si>
    <t>Install Git (if using a computer)</t>
  </si>
  <si>
    <t>Install Git from https://git-scm.com/downloads. Configure your name/email in a terminal: git config --global user.name "Your Name" and git config --global user.email "you@example.com".</t>
  </si>
  <si>
    <t>7</t>
  </si>
  <si>
    <t>Clone the repository</t>
  </si>
  <si>
    <t>In terminal: git clone https://github.com/YOUR-USERNAME/databricks-data-engineering-journey.git ; then cd databricks-data-engineering-journey. Replace YOUR-USERNAME.</t>
  </si>
  <si>
    <t>8</t>
  </si>
  <si>
    <t>Create a useful folder structure</t>
  </si>
  <si>
    <t>Create folders: python-foundations/, numpy-pandas/, pyspark/, databricks/, capstone/, notes/. Add a README.md in each substantial project folder.</t>
  </si>
  <si>
    <t>9</t>
  </si>
  <si>
    <t>Add starter files</t>
  </si>
  <si>
    <t>Create README.md, .gitignore, requirements.txt (or pyproject.toml later), and a projects/README.md. Keep sample data small and non-sensitive.</t>
  </si>
  <si>
    <t>10</t>
  </si>
  <si>
    <t>Make your first commit</t>
  </si>
  <si>
    <t>Run: git add . ; git commit -m "Set up learning journey repository" ; git push origin main. If Git asks you to authenticate, follow GitHub's current authentication instructions.</t>
  </si>
  <si>
    <t>11</t>
  </si>
  <si>
    <t>Use a weekly workflow</t>
  </si>
  <si>
    <t>Before a new topic: git pull. Work on a small branch if appropriate, test your code, then commit with a clear message such as "Add week 01 ETL validation utility" and push.</t>
  </si>
  <si>
    <t>12</t>
  </si>
  <si>
    <t>Link evidence to tracker</t>
  </si>
  <si>
    <t>Paste the GitHub folder, commit or notebook link into the Daily Tracker's GitHub Commit / Link column. Update each weekly deliverable in the roadmap.</t>
  </si>
  <si>
    <t>13</t>
  </si>
  <si>
    <t>Use Databricks with Git</t>
  </si>
  <si>
    <t>If your Databricks workspace supports Git folders, connect the repository using its Git integration and follow the workspace's authentication/policy requirements. Otherwise develop locally and push code to GitHub.</t>
  </si>
  <si>
    <t>14</t>
  </si>
  <si>
    <t>Publish your capstone</t>
  </si>
  <si>
    <t>Include architecture diagram, setup instructions, synthetic/public sample data instructions, tests, screenshots that contain no sensitive data, and measured benchmark results.</t>
  </si>
  <si>
    <t>Suggested repository structure</t>
  </si>
  <si>
    <t xml:space="preserve">databricks-data-engineering-journey/
├── README.md
├── .gitignore
├── requirements.txt
├── python-foundations/
│   ├── week-01-etl-validation/
│   └── week-02-json-transformer/
├── numpy-pandas/
│   ├── week-05-numpy-analytics/
│   └── week-06-customer-cleaning/
├── pyspark/
│   ├── week-09-ingestion/
│   └── week-12-performance-lab/
├── databricks/
│   ├── week-15-delta-merge/
│   ├── week-16-medallion-pipeline/
│   └── week-20-workflows/
├── capstone/
│   ├── notebooks-or-src/
│   ├── tests/
│   ├── docs/
│   └── architecture/
└── notes/
</t>
  </si>
  <si>
    <t>Sample README starter</t>
  </si>
  <si>
    <t xml:space="preserve"># Databricks Data Engineering Journey
A six-month, 26-week learning portfolio covering Python, NumPy, Pandas, PySpark, Databricks, Delta Lake, testing, orchestration and performance optimization.
## Goals
- Practice approximately 10 hours per week.
- Build weekly mini-projects with tests and documentation.
- Complete an end-to-end lakehouse capstone.
## Repository structure
- `python-foundations/`: Python exercises and utilities
- `numpy-pandas/`: local data analysis and cleaning
- `pyspark/`: distributed transformations and performance labs
- `databricks/`: notebooks and Delta Lake projects
- `capstone/`: end-to-end project, tests and architecture
- `notes/`: concise learning notes and interview preparation
## Safety
Only use synthetic, public, or otherwise authorized data. Never commit passwords, tokens, credentials, employer/client data, or proprietary code.
## Progress
Update this README as weekly deliverables are completed.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</si>
</sst>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1F4E78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  <font>
      <sz val="12"/>
      <color theme="10"/>
      <name val="Calibri"/>
      <family val="2"/>
      <scheme val="minor"/>
    </font>
    <font>
      <b/>
      <sz val="16"/>
      <color rgb="FFFFFFFF"/>
      <name val="Calibri"/>
    </font>
    <font>
      <sz val="10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8FBF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0" fillId="0" borderId="1" xfId="0" applyBorder="1" applyAlignment="1">
      <alignment vertical="top" wrapText="1"/>
    </xf>
    <xf numFmtId="0" fontId="6" fillId="5" borderId="1" xfId="0" applyFont="1" applyFill="1" applyBorder="1"/>
    <xf numFmtId="0" fontId="0" fillId="6" borderId="1" xfId="0" applyFill="1" applyBorder="1"/>
    <xf numFmtId="9" fontId="0" fillId="6" borderId="1" xfId="0" applyNumberFormat="1" applyFill="1" applyBorder="1"/>
    <xf numFmtId="0" fontId="4" fillId="2" borderId="0" xfId="0" applyFont="1" applyFill="1"/>
    <xf numFmtId="0" fontId="4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4" fillId="2" borderId="0" xfId="0" applyFont="1" applyFill="1" applyAlignment="1">
      <alignment wrapText="1"/>
    </xf>
    <xf numFmtId="0" fontId="4" fillId="3" borderId="0" xfId="0" applyFont="1" applyFill="1"/>
    <xf numFmtId="0" fontId="2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3" fillId="3" borderId="0" xfId="0" applyFont="1" applyFill="1"/>
    <xf numFmtId="0" fontId="1" fillId="2" borderId="0" xfId="0" applyFont="1" applyFill="1"/>
    <xf numFmtId="0" fontId="8" fillId="2" borderId="0" xfId="0" applyFont="1" applyFill="1"/>
    <xf numFmtId="0" fontId="9" fillId="0" borderId="0" xfId="0" applyFont="1" applyAlignment="1">
      <alignment vertical="top" wrapText="1"/>
    </xf>
    <xf numFmtId="0" fontId="7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andas.pydata.org/docs/user_guide/merging.html" TargetMode="External"/><Relationship Id="rId13" Type="http://schemas.openxmlformats.org/officeDocument/2006/relationships/hyperlink" Target="https://spark.apache.org/docs/latest/api/python/reference/pyspark.sql/window.html" TargetMode="External"/><Relationship Id="rId18" Type="http://schemas.openxmlformats.org/officeDocument/2006/relationships/hyperlink" Target="https://docs.delta.io/latest/index.html" TargetMode="External"/><Relationship Id="rId3" Type="http://schemas.openxmlformats.org/officeDocument/2006/relationships/hyperlink" Target="https://docs.pytest.org/" TargetMode="External"/><Relationship Id="rId21" Type="http://schemas.openxmlformats.org/officeDocument/2006/relationships/hyperlink" Target="https://docs.databricks.com/aws/en/jobs/" TargetMode="External"/><Relationship Id="rId7" Type="http://schemas.openxmlformats.org/officeDocument/2006/relationships/hyperlink" Target="https://pandas.pydata.org/docs/user_guide/scale.html" TargetMode="External"/><Relationship Id="rId12" Type="http://schemas.openxmlformats.org/officeDocument/2006/relationships/hyperlink" Target="https://spark.apache.org/docs/latest/sql-performance-tuning.html" TargetMode="External"/><Relationship Id="rId17" Type="http://schemas.openxmlformats.org/officeDocument/2006/relationships/hyperlink" Target="https://docs.databricks.com/aws/en/getting-started/dataframes" TargetMode="External"/><Relationship Id="rId25" Type="http://schemas.openxmlformats.org/officeDocument/2006/relationships/hyperlink" Target="https://colab.research.google.com/" TargetMode="External"/><Relationship Id="rId2" Type="http://schemas.openxmlformats.org/officeDocument/2006/relationships/hyperlink" Target="https://docs.python.org/3/library/" TargetMode="External"/><Relationship Id="rId16" Type="http://schemas.openxmlformats.org/officeDocument/2006/relationships/hyperlink" Target="https://docs.databricks.com/aws/en/languages/python" TargetMode="External"/><Relationship Id="rId20" Type="http://schemas.openxmlformats.org/officeDocument/2006/relationships/hyperlink" Target="https://docs.databricks.com/aws/en/optimizations" TargetMode="External"/><Relationship Id="rId1" Type="http://schemas.openxmlformats.org/officeDocument/2006/relationships/hyperlink" Target="https://docs.python.org/3/tutorial/" TargetMode="External"/><Relationship Id="rId6" Type="http://schemas.openxmlformats.org/officeDocument/2006/relationships/hyperlink" Target="https://pandas.pydata.org/docs/getting_started/" TargetMode="External"/><Relationship Id="rId11" Type="http://schemas.openxmlformats.org/officeDocument/2006/relationships/hyperlink" Target="https://spark.apache.org/docs/latest/sql-programming-guide.html" TargetMode="External"/><Relationship Id="rId24" Type="http://schemas.openxmlformats.org/officeDocument/2006/relationships/hyperlink" Target="https://www.kaggle.com/datasets" TargetMode="External"/><Relationship Id="rId5" Type="http://schemas.openxmlformats.org/officeDocument/2006/relationships/hyperlink" Target="https://numpy.org/doc/stable/user/absolute_beginners.html" TargetMode="External"/><Relationship Id="rId15" Type="http://schemas.openxmlformats.org/officeDocument/2006/relationships/hyperlink" Target="https://www.databricks.com/learn/free-edition" TargetMode="External"/><Relationship Id="rId23" Type="http://schemas.openxmlformats.org/officeDocument/2006/relationships/hyperlink" Target="https://docs.databricks.com/aws/en/dev-tools/bundles/" TargetMode="External"/><Relationship Id="rId10" Type="http://schemas.openxmlformats.org/officeDocument/2006/relationships/hyperlink" Target="https://spark.apache.org/docs/latest/" TargetMode="External"/><Relationship Id="rId19" Type="http://schemas.openxmlformats.org/officeDocument/2006/relationships/hyperlink" Target="https://docs.databricks.com/aws/en/lakehouse/medallion" TargetMode="External"/><Relationship Id="rId4" Type="http://schemas.openxmlformats.org/officeDocument/2006/relationships/hyperlink" Target="https://skills.github.com/" TargetMode="External"/><Relationship Id="rId9" Type="http://schemas.openxmlformats.org/officeDocument/2006/relationships/hyperlink" Target="https://pandas.pydata.org/docs/user_guide/groupby.html" TargetMode="External"/><Relationship Id="rId14" Type="http://schemas.openxmlformats.org/officeDocument/2006/relationships/hyperlink" Target="https://spark.apache.org/docs/latest/streaming/index.html" TargetMode="External"/><Relationship Id="rId22" Type="http://schemas.openxmlformats.org/officeDocument/2006/relationships/hyperlink" Target="https://docs.databricks.com/aws/en/data-governance/unity-cata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showGridLines="0" tabSelected="1" workbookViewId="0">
      <pane ySplit="4" topLeftCell="A5" activePane="bottomLeft" state="frozen"/>
      <selection pane="bottomLeft" activeCell="A6" activeCellId="1" sqref="A2:F2 A6:F6"/>
    </sheetView>
  </sheetViews>
  <sheetFormatPr defaultRowHeight="14.5" x14ac:dyDescent="0.35"/>
  <cols>
    <col min="1" max="2" width="28" customWidth="1"/>
    <col min="3" max="6" width="20" customWidth="1"/>
  </cols>
  <sheetData>
    <row r="1" spans="1:6" ht="32" customHeight="1" x14ac:dyDescent="0.55000000000000004">
      <c r="A1" s="17" t="s">
        <v>0</v>
      </c>
      <c r="B1" s="14"/>
      <c r="C1" s="14"/>
      <c r="D1" s="14"/>
      <c r="E1" s="14"/>
      <c r="F1" s="14"/>
    </row>
    <row r="2" spans="1:6" ht="32" customHeight="1" x14ac:dyDescent="0.35">
      <c r="A2" s="13" t="s">
        <v>1</v>
      </c>
      <c r="B2" s="14"/>
      <c r="C2" s="14"/>
      <c r="D2" s="14"/>
      <c r="E2" s="14"/>
      <c r="F2" s="14"/>
    </row>
    <row r="3" spans="1:6" ht="25" customHeight="1" x14ac:dyDescent="0.35"/>
    <row r="4" spans="1:6" ht="25" customHeight="1" x14ac:dyDescent="0.4">
      <c r="A4" s="16" t="s">
        <v>2</v>
      </c>
      <c r="B4" s="14"/>
      <c r="C4" s="14"/>
      <c r="D4" s="14"/>
      <c r="E4" s="14"/>
      <c r="F4" s="14"/>
    </row>
    <row r="5" spans="1:6" ht="25" customHeight="1" x14ac:dyDescent="0.35">
      <c r="A5" s="15" t="s">
        <v>3</v>
      </c>
      <c r="B5" s="14"/>
      <c r="C5" s="14"/>
      <c r="D5" s="14"/>
      <c r="E5" s="14"/>
      <c r="F5" s="14"/>
    </row>
    <row r="6" spans="1:6" ht="25" customHeight="1" x14ac:dyDescent="0.35">
      <c r="A6" s="15" t="s">
        <v>4</v>
      </c>
      <c r="B6" s="14"/>
      <c r="C6" s="14"/>
      <c r="D6" s="14"/>
      <c r="E6" s="14"/>
      <c r="F6" s="14"/>
    </row>
    <row r="7" spans="1:6" ht="25" customHeight="1" x14ac:dyDescent="0.35">
      <c r="A7" s="15" t="s">
        <v>5</v>
      </c>
      <c r="B7" s="14"/>
      <c r="C7" s="14"/>
      <c r="D7" s="14"/>
      <c r="E7" s="14"/>
      <c r="F7" s="14"/>
    </row>
    <row r="8" spans="1:6" ht="25" customHeight="1" x14ac:dyDescent="0.35">
      <c r="A8" s="15" t="s">
        <v>6</v>
      </c>
      <c r="B8" s="14"/>
      <c r="C8" s="14"/>
      <c r="D8" s="14"/>
      <c r="E8" s="14"/>
      <c r="F8" s="14"/>
    </row>
    <row r="9" spans="1:6" ht="25" customHeight="1" x14ac:dyDescent="0.35">
      <c r="A9" s="15" t="s">
        <v>7</v>
      </c>
      <c r="B9" s="14"/>
      <c r="C9" s="14"/>
      <c r="D9" s="14"/>
      <c r="E9" s="14"/>
      <c r="F9" s="14"/>
    </row>
    <row r="10" spans="1:6" ht="25" customHeight="1" x14ac:dyDescent="0.35">
      <c r="A10" s="15" t="s">
        <v>8</v>
      </c>
      <c r="B10" s="14"/>
      <c r="C10" s="14"/>
      <c r="D10" s="14"/>
      <c r="E10" s="14"/>
      <c r="F10" s="14"/>
    </row>
    <row r="11" spans="1:6" ht="25" customHeight="1" x14ac:dyDescent="0.35">
      <c r="A11" s="15" t="s">
        <v>9</v>
      </c>
      <c r="B11" s="14"/>
      <c r="C11" s="14"/>
      <c r="D11" s="14"/>
      <c r="E11" s="14"/>
      <c r="F11" s="14"/>
    </row>
    <row r="12" spans="1:6" ht="25" customHeight="1" x14ac:dyDescent="0.35"/>
    <row r="13" spans="1:6" ht="25" customHeight="1" x14ac:dyDescent="0.35"/>
    <row r="14" spans="1:6" ht="25" customHeight="1" x14ac:dyDescent="0.4">
      <c r="A14" s="16" t="s">
        <v>10</v>
      </c>
      <c r="B14" s="14"/>
      <c r="C14" s="14"/>
      <c r="D14" s="14"/>
      <c r="E14" s="14"/>
      <c r="F14" s="14"/>
    </row>
    <row r="15" spans="1:6" ht="25" customHeight="1" x14ac:dyDescent="0.35">
      <c r="A15" s="1" t="s">
        <v>11</v>
      </c>
      <c r="B15" s="1" t="s">
        <v>12</v>
      </c>
      <c r="C15" s="1" t="s">
        <v>13</v>
      </c>
    </row>
    <row r="16" spans="1:6" ht="25" customHeight="1" x14ac:dyDescent="0.35">
      <c r="A16" s="1" t="s">
        <v>14</v>
      </c>
      <c r="B16" s="1" t="s">
        <v>15</v>
      </c>
      <c r="C16" s="1" t="s">
        <v>16</v>
      </c>
    </row>
    <row r="17" spans="1:6" ht="25" customHeight="1" x14ac:dyDescent="0.35">
      <c r="A17" s="1" t="s">
        <v>17</v>
      </c>
      <c r="B17" s="1" t="s">
        <v>18</v>
      </c>
      <c r="C17" s="1" t="s">
        <v>19</v>
      </c>
    </row>
    <row r="18" spans="1:6" ht="25" customHeight="1" x14ac:dyDescent="0.35">
      <c r="A18" s="1" t="s">
        <v>20</v>
      </c>
      <c r="B18" s="1" t="s">
        <v>21</v>
      </c>
      <c r="C18" s="1" t="s">
        <v>22</v>
      </c>
    </row>
    <row r="19" spans="1:6" ht="25" customHeight="1" x14ac:dyDescent="0.35"/>
    <row r="20" spans="1:6" ht="25" customHeight="1" x14ac:dyDescent="0.35"/>
    <row r="21" spans="1:6" ht="25" customHeight="1" x14ac:dyDescent="0.4">
      <c r="A21" s="16" t="s">
        <v>23</v>
      </c>
      <c r="B21" s="14"/>
      <c r="C21" s="14"/>
      <c r="D21" s="14"/>
      <c r="E21" s="14"/>
      <c r="F21" s="14"/>
    </row>
    <row r="22" spans="1:6" ht="32" customHeight="1" x14ac:dyDescent="0.35">
      <c r="A22" s="15" t="s">
        <v>24</v>
      </c>
      <c r="B22" s="14"/>
      <c r="C22" s="14"/>
      <c r="D22" s="14"/>
      <c r="E22" s="14"/>
      <c r="F22" s="14"/>
    </row>
    <row r="23" spans="1:6" ht="32" customHeight="1" x14ac:dyDescent="0.35">
      <c r="A23" s="14"/>
      <c r="B23" s="14"/>
      <c r="C23" s="14"/>
      <c r="D23" s="14"/>
      <c r="E23" s="14"/>
      <c r="F23" s="14"/>
    </row>
  </sheetData>
  <mergeCells count="13">
    <mergeCell ref="A22:F23"/>
    <mergeCell ref="A21:F21"/>
    <mergeCell ref="A7:F7"/>
    <mergeCell ref="A2:F2"/>
    <mergeCell ref="A11:F11"/>
    <mergeCell ref="A10:F10"/>
    <mergeCell ref="A14:F14"/>
    <mergeCell ref="A1:F1"/>
    <mergeCell ref="A5:F5"/>
    <mergeCell ref="A9:F9"/>
    <mergeCell ref="A8:F8"/>
    <mergeCell ref="A6:F6"/>
    <mergeCell ref="A4:F4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9"/>
  <sheetViews>
    <sheetView showGridLines="0" workbookViewId="0">
      <pane ySplit="13" topLeftCell="A14" activePane="bottomLeft" state="frozen"/>
      <selection pane="bottomLeft" activeCell="C14" sqref="C14"/>
    </sheetView>
  </sheetViews>
  <sheetFormatPr defaultRowHeight="14.5" x14ac:dyDescent="0.35"/>
  <cols>
    <col min="1" max="1" width="26" customWidth="1"/>
    <col min="2" max="2" width="40" customWidth="1"/>
    <col min="3" max="3" width="20" customWidth="1"/>
    <col min="4" max="5" width="16" customWidth="1"/>
    <col min="6" max="6" width="18" customWidth="1"/>
  </cols>
  <sheetData>
    <row r="1" spans="1:6" ht="23.5" x14ac:dyDescent="0.55000000000000004">
      <c r="A1" s="17" t="s">
        <v>25</v>
      </c>
      <c r="B1" s="14"/>
      <c r="C1" s="14"/>
      <c r="D1" s="14"/>
      <c r="E1" s="14"/>
      <c r="F1" s="14"/>
    </row>
    <row r="3" spans="1:6" ht="17" x14ac:dyDescent="0.4">
      <c r="A3" s="16" t="s">
        <v>26</v>
      </c>
      <c r="B3" s="14"/>
      <c r="C3" s="14"/>
    </row>
    <row r="4" spans="1:6" x14ac:dyDescent="0.35">
      <c r="A4" s="2" t="s">
        <v>27</v>
      </c>
      <c r="B4" s="3">
        <f>SUM('Daily Tracker'!G2:G183)</f>
        <v>260</v>
      </c>
    </row>
    <row r="5" spans="1:6" x14ac:dyDescent="0.35">
      <c r="A5" s="2" t="s">
        <v>28</v>
      </c>
      <c r="B5" s="3">
        <f>SUM('Daily Tracker'!I2:I183)</f>
        <v>0</v>
      </c>
    </row>
    <row r="6" spans="1:6" x14ac:dyDescent="0.35">
      <c r="A6" s="2" t="s">
        <v>29</v>
      </c>
      <c r="B6" s="3">
        <f>COUNTIF('Daily Tracker'!J2:J183,"Completed")</f>
        <v>0</v>
      </c>
    </row>
    <row r="7" spans="1:6" x14ac:dyDescent="0.35">
      <c r="A7" s="2" t="s">
        <v>30</v>
      </c>
      <c r="B7" s="3">
        <f>COUNTA('Daily Tracker'!A2:A183)</f>
        <v>182</v>
      </c>
    </row>
    <row r="8" spans="1:6" x14ac:dyDescent="0.35">
      <c r="A8" s="2" t="s">
        <v>31</v>
      </c>
      <c r="B8" s="4">
        <f>IF(B7=0,0,B6/B7)</f>
        <v>0</v>
      </c>
    </row>
    <row r="9" spans="1:6" x14ac:dyDescent="0.35">
      <c r="A9" s="2" t="s">
        <v>32</v>
      </c>
      <c r="B9" s="4">
        <f>IF(B4=0,0,B5/B4)</f>
        <v>0</v>
      </c>
    </row>
    <row r="12" spans="1:6" ht="17" x14ac:dyDescent="0.4">
      <c r="A12" s="16" t="s">
        <v>33</v>
      </c>
      <c r="B12" s="14"/>
      <c r="C12" s="14"/>
      <c r="D12" s="14"/>
      <c r="E12" s="14"/>
      <c r="F12" s="14"/>
    </row>
    <row r="13" spans="1:6" x14ac:dyDescent="0.35">
      <c r="A13" s="5" t="s">
        <v>34</v>
      </c>
      <c r="B13" s="5" t="s">
        <v>35</v>
      </c>
      <c r="C13" s="5" t="s">
        <v>36</v>
      </c>
      <c r="D13" s="5" t="s">
        <v>37</v>
      </c>
      <c r="E13" s="5" t="s">
        <v>38</v>
      </c>
      <c r="F13" s="5" t="s">
        <v>39</v>
      </c>
    </row>
    <row r="14" spans="1:6" ht="32" customHeight="1" x14ac:dyDescent="0.35">
      <c r="A14" s="1">
        <v>1</v>
      </c>
      <c r="B14" s="1" t="s">
        <v>40</v>
      </c>
      <c r="C14" s="1">
        <v>0</v>
      </c>
      <c r="D14" s="1">
        <f>COUNTIF('Daily Tracker'!$A$2:$A$183,A14)</f>
        <v>7</v>
      </c>
      <c r="E14" s="1">
        <v>0</v>
      </c>
      <c r="F14" s="1" t="str">
        <f t="shared" ref="F14:F39" si="0">IF(C14=D14,"Completed",IF(C14=0,"Not Started","In Progress"))</f>
        <v>Not Started</v>
      </c>
    </row>
    <row r="15" spans="1:6" ht="32" customHeight="1" x14ac:dyDescent="0.35">
      <c r="A15" s="1">
        <v>2</v>
      </c>
      <c r="B15" s="1" t="s">
        <v>41</v>
      </c>
      <c r="C15" s="1">
        <f>COUNTIFS('Daily Tracker'!$A$2:$A$183,A15,'Daily Tracker'!$J$2:$J$183,"Completed")</f>
        <v>0</v>
      </c>
      <c r="D15" s="1">
        <f>COUNTIF('Daily Tracker'!$A$2:$A$183,A15)</f>
        <v>7</v>
      </c>
      <c r="E15" s="1">
        <f>SUMIF('Daily Tracker'!$A$2:$A$183,A15,'Daily Tracker'!$I$2:$I$183)</f>
        <v>0</v>
      </c>
      <c r="F15" s="1" t="str">
        <f t="shared" si="0"/>
        <v>Not Started</v>
      </c>
    </row>
    <row r="16" spans="1:6" ht="32" customHeight="1" x14ac:dyDescent="0.35">
      <c r="A16" s="1">
        <v>3</v>
      </c>
      <c r="B16" s="1" t="s">
        <v>42</v>
      </c>
      <c r="C16" s="1">
        <f>COUNTIFS('Daily Tracker'!$A$2:$A$183,A16,'Daily Tracker'!$J$2:$J$183,"Completed")</f>
        <v>0</v>
      </c>
      <c r="D16" s="1">
        <f>COUNTIF('Daily Tracker'!$A$2:$A$183,A16)</f>
        <v>7</v>
      </c>
      <c r="E16" s="1">
        <f>SUMIF('Daily Tracker'!$A$2:$A$183,A16,'Daily Tracker'!$I$2:$I$183)</f>
        <v>0</v>
      </c>
      <c r="F16" s="1" t="str">
        <f t="shared" si="0"/>
        <v>Not Started</v>
      </c>
    </row>
    <row r="17" spans="1:6" ht="32" customHeight="1" x14ac:dyDescent="0.35">
      <c r="A17" s="1">
        <v>4</v>
      </c>
      <c r="B17" s="1" t="s">
        <v>43</v>
      </c>
      <c r="C17" s="1">
        <f>COUNTIFS('Daily Tracker'!$A$2:$A$183,A17,'Daily Tracker'!$J$2:$J$183,"Completed")</f>
        <v>0</v>
      </c>
      <c r="D17" s="1">
        <f>COUNTIF('Daily Tracker'!$A$2:$A$183,A17)</f>
        <v>7</v>
      </c>
      <c r="E17" s="1">
        <f>SUMIF('Daily Tracker'!$A$2:$A$183,A17,'Daily Tracker'!$I$2:$I$183)</f>
        <v>0</v>
      </c>
      <c r="F17" s="1" t="str">
        <f t="shared" si="0"/>
        <v>Not Started</v>
      </c>
    </row>
    <row r="18" spans="1:6" ht="32" customHeight="1" x14ac:dyDescent="0.35">
      <c r="A18" s="1">
        <v>5</v>
      </c>
      <c r="B18" s="1" t="s">
        <v>44</v>
      </c>
      <c r="C18" s="1">
        <f>COUNTIFS('Daily Tracker'!$A$2:$A$183,A18,'Daily Tracker'!$J$2:$J$183,"Completed")</f>
        <v>0</v>
      </c>
      <c r="D18" s="1">
        <f>COUNTIF('Daily Tracker'!$A$2:$A$183,A18)</f>
        <v>7</v>
      </c>
      <c r="E18" s="1">
        <f>SUMIF('Daily Tracker'!$A$2:$A$183,A18,'Daily Tracker'!$I$2:$I$183)</f>
        <v>0</v>
      </c>
      <c r="F18" s="1" t="str">
        <f t="shared" si="0"/>
        <v>Not Started</v>
      </c>
    </row>
    <row r="19" spans="1:6" ht="32" customHeight="1" x14ac:dyDescent="0.35">
      <c r="A19" s="1">
        <v>6</v>
      </c>
      <c r="B19" s="1" t="s">
        <v>45</v>
      </c>
      <c r="C19" s="1">
        <f>COUNTIFS('Daily Tracker'!$A$2:$A$183,A19,'Daily Tracker'!$J$2:$J$183,"Completed")</f>
        <v>0</v>
      </c>
      <c r="D19" s="1">
        <f>COUNTIF('Daily Tracker'!$A$2:$A$183,A19)</f>
        <v>7</v>
      </c>
      <c r="E19" s="1">
        <f>SUMIF('Daily Tracker'!$A$2:$A$183,A19,'Daily Tracker'!$I$2:$I$183)</f>
        <v>0</v>
      </c>
      <c r="F19" s="1" t="str">
        <f t="shared" si="0"/>
        <v>Not Started</v>
      </c>
    </row>
    <row r="20" spans="1:6" ht="32" customHeight="1" x14ac:dyDescent="0.35">
      <c r="A20" s="1">
        <v>7</v>
      </c>
      <c r="B20" s="1" t="s">
        <v>46</v>
      </c>
      <c r="C20" s="1">
        <f>COUNTIFS('Daily Tracker'!$A$2:$A$183,A20,'Daily Tracker'!$J$2:$J$183,"Completed")</f>
        <v>0</v>
      </c>
      <c r="D20" s="1">
        <f>COUNTIF('Daily Tracker'!$A$2:$A$183,A20)</f>
        <v>7</v>
      </c>
      <c r="E20" s="1">
        <f>SUMIF('Daily Tracker'!$A$2:$A$183,A20,'Daily Tracker'!$I$2:$I$183)</f>
        <v>0</v>
      </c>
      <c r="F20" s="1" t="str">
        <f t="shared" si="0"/>
        <v>Not Started</v>
      </c>
    </row>
    <row r="21" spans="1:6" ht="32" customHeight="1" x14ac:dyDescent="0.35">
      <c r="A21" s="1">
        <v>8</v>
      </c>
      <c r="B21" s="1" t="s">
        <v>47</v>
      </c>
      <c r="C21" s="1">
        <f>COUNTIFS('Daily Tracker'!$A$2:$A$183,A21,'Daily Tracker'!$J$2:$J$183,"Completed")</f>
        <v>0</v>
      </c>
      <c r="D21" s="1">
        <f>COUNTIF('Daily Tracker'!$A$2:$A$183,A21)</f>
        <v>7</v>
      </c>
      <c r="E21" s="1">
        <f>SUMIF('Daily Tracker'!$A$2:$A$183,A21,'Daily Tracker'!$I$2:$I$183)</f>
        <v>0</v>
      </c>
      <c r="F21" s="1" t="str">
        <f t="shared" si="0"/>
        <v>Not Started</v>
      </c>
    </row>
    <row r="22" spans="1:6" ht="32" customHeight="1" x14ac:dyDescent="0.35">
      <c r="A22" s="1">
        <v>9</v>
      </c>
      <c r="B22" s="1" t="s">
        <v>48</v>
      </c>
      <c r="C22" s="1">
        <f>COUNTIFS('Daily Tracker'!$A$2:$A$183,A22,'Daily Tracker'!$J$2:$J$183,"Completed")</f>
        <v>0</v>
      </c>
      <c r="D22" s="1">
        <f>COUNTIF('Daily Tracker'!$A$2:$A$183,A22)</f>
        <v>7</v>
      </c>
      <c r="E22" s="1">
        <f>SUMIF('Daily Tracker'!$A$2:$A$183,A22,'Daily Tracker'!$I$2:$I$183)</f>
        <v>0</v>
      </c>
      <c r="F22" s="1" t="str">
        <f t="shared" si="0"/>
        <v>Not Started</v>
      </c>
    </row>
    <row r="23" spans="1:6" ht="32" customHeight="1" x14ac:dyDescent="0.35">
      <c r="A23" s="1">
        <v>10</v>
      </c>
      <c r="B23" s="1" t="s">
        <v>49</v>
      </c>
      <c r="C23" s="1">
        <f>COUNTIFS('Daily Tracker'!$A$2:$A$183,A23,'Daily Tracker'!$J$2:$J$183,"Completed")</f>
        <v>0</v>
      </c>
      <c r="D23" s="1">
        <f>COUNTIF('Daily Tracker'!$A$2:$A$183,A23)</f>
        <v>7</v>
      </c>
      <c r="E23" s="1">
        <f>SUMIF('Daily Tracker'!$A$2:$A$183,A23,'Daily Tracker'!$I$2:$I$183)</f>
        <v>0</v>
      </c>
      <c r="F23" s="1" t="str">
        <f t="shared" si="0"/>
        <v>Not Started</v>
      </c>
    </row>
    <row r="24" spans="1:6" ht="32" customHeight="1" x14ac:dyDescent="0.35">
      <c r="A24" s="1">
        <v>11</v>
      </c>
      <c r="B24" s="1" t="s">
        <v>50</v>
      </c>
      <c r="C24" s="1">
        <f>COUNTIFS('Daily Tracker'!$A$2:$A$183,A24,'Daily Tracker'!$J$2:$J$183,"Completed")</f>
        <v>0</v>
      </c>
      <c r="D24" s="1">
        <f>COUNTIF('Daily Tracker'!$A$2:$A$183,A24)</f>
        <v>7</v>
      </c>
      <c r="E24" s="1">
        <f>SUMIF('Daily Tracker'!$A$2:$A$183,A24,'Daily Tracker'!$I$2:$I$183)</f>
        <v>0</v>
      </c>
      <c r="F24" s="1" t="str">
        <f t="shared" si="0"/>
        <v>Not Started</v>
      </c>
    </row>
    <row r="25" spans="1:6" ht="32" customHeight="1" x14ac:dyDescent="0.35">
      <c r="A25" s="1">
        <v>12</v>
      </c>
      <c r="B25" s="1" t="s">
        <v>51</v>
      </c>
      <c r="C25" s="1">
        <f>COUNTIFS('Daily Tracker'!$A$2:$A$183,A25,'Daily Tracker'!$J$2:$J$183,"Completed")</f>
        <v>0</v>
      </c>
      <c r="D25" s="1">
        <f>COUNTIF('Daily Tracker'!$A$2:$A$183,A25)</f>
        <v>7</v>
      </c>
      <c r="E25" s="1">
        <f>SUMIF('Daily Tracker'!$A$2:$A$183,A25,'Daily Tracker'!$I$2:$I$183)</f>
        <v>0</v>
      </c>
      <c r="F25" s="1" t="str">
        <f t="shared" si="0"/>
        <v>Not Started</v>
      </c>
    </row>
    <row r="26" spans="1:6" ht="32" customHeight="1" x14ac:dyDescent="0.35">
      <c r="A26" s="1">
        <v>13</v>
      </c>
      <c r="B26" s="1" t="s">
        <v>52</v>
      </c>
      <c r="C26" s="1">
        <f>COUNTIFS('Daily Tracker'!$A$2:$A$183,A26,'Daily Tracker'!$J$2:$J$183,"Completed")</f>
        <v>0</v>
      </c>
      <c r="D26" s="1">
        <f>COUNTIF('Daily Tracker'!$A$2:$A$183,A26)</f>
        <v>7</v>
      </c>
      <c r="E26" s="1">
        <f>SUMIF('Daily Tracker'!$A$2:$A$183,A26,'Daily Tracker'!$I$2:$I$183)</f>
        <v>0</v>
      </c>
      <c r="F26" s="1" t="str">
        <f t="shared" si="0"/>
        <v>Not Started</v>
      </c>
    </row>
    <row r="27" spans="1:6" ht="32" customHeight="1" x14ac:dyDescent="0.35">
      <c r="A27" s="1">
        <v>14</v>
      </c>
      <c r="B27" s="1" t="s">
        <v>53</v>
      </c>
      <c r="C27" s="1">
        <f>COUNTIFS('Daily Tracker'!$A$2:$A$183,A27,'Daily Tracker'!$J$2:$J$183,"Completed")</f>
        <v>0</v>
      </c>
      <c r="D27" s="1">
        <f>COUNTIF('Daily Tracker'!$A$2:$A$183,A27)</f>
        <v>7</v>
      </c>
      <c r="E27" s="1">
        <f>SUMIF('Daily Tracker'!$A$2:$A$183,A27,'Daily Tracker'!$I$2:$I$183)</f>
        <v>0</v>
      </c>
      <c r="F27" s="1" t="str">
        <f t="shared" si="0"/>
        <v>Not Started</v>
      </c>
    </row>
    <row r="28" spans="1:6" ht="32" customHeight="1" x14ac:dyDescent="0.35">
      <c r="A28" s="1">
        <v>15</v>
      </c>
      <c r="B28" s="1" t="s">
        <v>54</v>
      </c>
      <c r="C28" s="1">
        <f>COUNTIFS('Daily Tracker'!$A$2:$A$183,A28,'Daily Tracker'!$J$2:$J$183,"Completed")</f>
        <v>0</v>
      </c>
      <c r="D28" s="1">
        <f>COUNTIF('Daily Tracker'!$A$2:$A$183,A28)</f>
        <v>7</v>
      </c>
      <c r="E28" s="1">
        <f>SUMIF('Daily Tracker'!$A$2:$A$183,A28,'Daily Tracker'!$I$2:$I$183)</f>
        <v>0</v>
      </c>
      <c r="F28" s="1" t="str">
        <f t="shared" si="0"/>
        <v>Not Started</v>
      </c>
    </row>
    <row r="29" spans="1:6" ht="32" customHeight="1" x14ac:dyDescent="0.35">
      <c r="A29" s="1">
        <v>16</v>
      </c>
      <c r="B29" s="1" t="s">
        <v>55</v>
      </c>
      <c r="C29" s="1">
        <f>COUNTIFS('Daily Tracker'!$A$2:$A$183,A29,'Daily Tracker'!$J$2:$J$183,"Completed")</f>
        <v>0</v>
      </c>
      <c r="D29" s="1">
        <f>COUNTIF('Daily Tracker'!$A$2:$A$183,A29)</f>
        <v>7</v>
      </c>
      <c r="E29" s="1">
        <f>SUMIF('Daily Tracker'!$A$2:$A$183,A29,'Daily Tracker'!$I$2:$I$183)</f>
        <v>0</v>
      </c>
      <c r="F29" s="1" t="str">
        <f t="shared" si="0"/>
        <v>Not Started</v>
      </c>
    </row>
    <row r="30" spans="1:6" ht="32" customHeight="1" x14ac:dyDescent="0.35">
      <c r="A30" s="1">
        <v>17</v>
      </c>
      <c r="B30" s="1" t="s">
        <v>56</v>
      </c>
      <c r="C30" s="1">
        <f>COUNTIFS('Daily Tracker'!$A$2:$A$183,A30,'Daily Tracker'!$J$2:$J$183,"Completed")</f>
        <v>0</v>
      </c>
      <c r="D30" s="1">
        <f>COUNTIF('Daily Tracker'!$A$2:$A$183,A30)</f>
        <v>7</v>
      </c>
      <c r="E30" s="1">
        <f>SUMIF('Daily Tracker'!$A$2:$A$183,A30,'Daily Tracker'!$I$2:$I$183)</f>
        <v>0</v>
      </c>
      <c r="F30" s="1" t="str">
        <f t="shared" si="0"/>
        <v>Not Started</v>
      </c>
    </row>
    <row r="31" spans="1:6" ht="32" customHeight="1" x14ac:dyDescent="0.35">
      <c r="A31" s="1">
        <v>18</v>
      </c>
      <c r="B31" s="1" t="s">
        <v>57</v>
      </c>
      <c r="C31" s="1">
        <f>COUNTIFS('Daily Tracker'!$A$2:$A$183,A31,'Daily Tracker'!$J$2:$J$183,"Completed")</f>
        <v>0</v>
      </c>
      <c r="D31" s="1">
        <f>COUNTIF('Daily Tracker'!$A$2:$A$183,A31)</f>
        <v>7</v>
      </c>
      <c r="E31" s="1">
        <f>SUMIF('Daily Tracker'!$A$2:$A$183,A31,'Daily Tracker'!$I$2:$I$183)</f>
        <v>0</v>
      </c>
      <c r="F31" s="1" t="str">
        <f t="shared" si="0"/>
        <v>Not Started</v>
      </c>
    </row>
    <row r="32" spans="1:6" ht="32" customHeight="1" x14ac:dyDescent="0.35">
      <c r="A32" s="1">
        <v>19</v>
      </c>
      <c r="B32" s="1" t="s">
        <v>58</v>
      </c>
      <c r="C32" s="1">
        <f>COUNTIFS('Daily Tracker'!$A$2:$A$183,A32,'Daily Tracker'!$J$2:$J$183,"Completed")</f>
        <v>0</v>
      </c>
      <c r="D32" s="1">
        <f>COUNTIF('Daily Tracker'!$A$2:$A$183,A32)</f>
        <v>7</v>
      </c>
      <c r="E32" s="1">
        <f>SUMIF('Daily Tracker'!$A$2:$A$183,A32,'Daily Tracker'!$I$2:$I$183)</f>
        <v>0</v>
      </c>
      <c r="F32" s="1" t="str">
        <f t="shared" si="0"/>
        <v>Not Started</v>
      </c>
    </row>
    <row r="33" spans="1:6" ht="32" customHeight="1" x14ac:dyDescent="0.35">
      <c r="A33" s="1">
        <v>20</v>
      </c>
      <c r="B33" s="1" t="s">
        <v>59</v>
      </c>
      <c r="C33" s="1">
        <f>COUNTIFS('Daily Tracker'!$A$2:$A$183,A33,'Daily Tracker'!$J$2:$J$183,"Completed")</f>
        <v>0</v>
      </c>
      <c r="D33" s="1">
        <f>COUNTIF('Daily Tracker'!$A$2:$A$183,A33)</f>
        <v>7</v>
      </c>
      <c r="E33" s="1">
        <f>SUMIF('Daily Tracker'!$A$2:$A$183,A33,'Daily Tracker'!$I$2:$I$183)</f>
        <v>0</v>
      </c>
      <c r="F33" s="1" t="str">
        <f t="shared" si="0"/>
        <v>Not Started</v>
      </c>
    </row>
    <row r="34" spans="1:6" ht="32" customHeight="1" x14ac:dyDescent="0.35">
      <c r="A34" s="1">
        <v>21</v>
      </c>
      <c r="B34" s="1" t="s">
        <v>60</v>
      </c>
      <c r="C34" s="1">
        <f>COUNTIFS('Daily Tracker'!$A$2:$A$183,A34,'Daily Tracker'!$J$2:$J$183,"Completed")</f>
        <v>0</v>
      </c>
      <c r="D34" s="1">
        <f>COUNTIF('Daily Tracker'!$A$2:$A$183,A34)</f>
        <v>7</v>
      </c>
      <c r="E34" s="1">
        <f>SUMIF('Daily Tracker'!$A$2:$A$183,A34,'Daily Tracker'!$I$2:$I$183)</f>
        <v>0</v>
      </c>
      <c r="F34" s="1" t="str">
        <f t="shared" si="0"/>
        <v>Not Started</v>
      </c>
    </row>
    <row r="35" spans="1:6" ht="32" customHeight="1" x14ac:dyDescent="0.35">
      <c r="A35" s="1">
        <v>22</v>
      </c>
      <c r="B35" s="1" t="s">
        <v>61</v>
      </c>
      <c r="C35" s="1">
        <f>COUNTIFS('Daily Tracker'!$A$2:$A$183,A35,'Daily Tracker'!$J$2:$J$183,"Completed")</f>
        <v>0</v>
      </c>
      <c r="D35" s="1">
        <f>COUNTIF('Daily Tracker'!$A$2:$A$183,A35)</f>
        <v>7</v>
      </c>
      <c r="E35" s="1">
        <f>SUMIF('Daily Tracker'!$A$2:$A$183,A35,'Daily Tracker'!$I$2:$I$183)</f>
        <v>0</v>
      </c>
      <c r="F35" s="1" t="str">
        <f t="shared" si="0"/>
        <v>Not Started</v>
      </c>
    </row>
    <row r="36" spans="1:6" ht="32" customHeight="1" x14ac:dyDescent="0.35">
      <c r="A36" s="1">
        <v>23</v>
      </c>
      <c r="B36" s="1" t="s">
        <v>62</v>
      </c>
      <c r="C36" s="1">
        <f>COUNTIFS('Daily Tracker'!$A$2:$A$183,A36,'Daily Tracker'!$J$2:$J$183,"Completed")</f>
        <v>0</v>
      </c>
      <c r="D36" s="1">
        <f>COUNTIF('Daily Tracker'!$A$2:$A$183,A36)</f>
        <v>7</v>
      </c>
      <c r="E36" s="1">
        <f>SUMIF('Daily Tracker'!$A$2:$A$183,A36,'Daily Tracker'!$I$2:$I$183)</f>
        <v>0</v>
      </c>
      <c r="F36" s="1" t="str">
        <f t="shared" si="0"/>
        <v>Not Started</v>
      </c>
    </row>
    <row r="37" spans="1:6" ht="32" customHeight="1" x14ac:dyDescent="0.35">
      <c r="A37" s="1">
        <v>24</v>
      </c>
      <c r="B37" s="1" t="s">
        <v>63</v>
      </c>
      <c r="C37" s="1">
        <f>COUNTIFS('Daily Tracker'!$A$2:$A$183,A37,'Daily Tracker'!$J$2:$J$183,"Completed")</f>
        <v>0</v>
      </c>
      <c r="D37" s="1">
        <f>COUNTIF('Daily Tracker'!$A$2:$A$183,A37)</f>
        <v>7</v>
      </c>
      <c r="E37" s="1">
        <f>SUMIF('Daily Tracker'!$A$2:$A$183,A37,'Daily Tracker'!$I$2:$I$183)</f>
        <v>0</v>
      </c>
      <c r="F37" s="1" t="str">
        <f t="shared" si="0"/>
        <v>Not Started</v>
      </c>
    </row>
    <row r="38" spans="1:6" ht="32" customHeight="1" x14ac:dyDescent="0.35">
      <c r="A38" s="1">
        <v>25</v>
      </c>
      <c r="B38" s="1" t="s">
        <v>64</v>
      </c>
      <c r="C38" s="1">
        <f>COUNTIFS('Daily Tracker'!$A$2:$A$183,A38,'Daily Tracker'!$J$2:$J$183,"Completed")</f>
        <v>0</v>
      </c>
      <c r="D38" s="1">
        <f>COUNTIF('Daily Tracker'!$A$2:$A$183,A38)</f>
        <v>7</v>
      </c>
      <c r="E38" s="1">
        <f>SUMIF('Daily Tracker'!$A$2:$A$183,A38,'Daily Tracker'!$I$2:$I$183)</f>
        <v>0</v>
      </c>
      <c r="F38" s="1" t="str">
        <f t="shared" si="0"/>
        <v>Not Started</v>
      </c>
    </row>
    <row r="39" spans="1:6" ht="32" customHeight="1" x14ac:dyDescent="0.35">
      <c r="A39" s="1">
        <v>26</v>
      </c>
      <c r="B39" s="1" t="s">
        <v>65</v>
      </c>
      <c r="C39" s="1">
        <f>COUNTIFS('Daily Tracker'!$A$2:$A$183,A39,'Daily Tracker'!$J$2:$J$183,"Completed")</f>
        <v>0</v>
      </c>
      <c r="D39" s="1">
        <f>COUNTIF('Daily Tracker'!$A$2:$A$183,A39)</f>
        <v>7</v>
      </c>
      <c r="E39" s="1">
        <f>SUMIF('Daily Tracker'!$A$2:$A$183,A39,'Daily Tracker'!$I$2:$I$183)</f>
        <v>0</v>
      </c>
      <c r="F39" s="1" t="str">
        <f t="shared" si="0"/>
        <v>Not Started</v>
      </c>
    </row>
  </sheetData>
  <mergeCells count="3">
    <mergeCell ref="A3:C3"/>
    <mergeCell ref="A1:F1"/>
    <mergeCell ref="A12:F12"/>
  </mergeCells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2" customWidth="1"/>
    <col min="3" max="3" width="31" customWidth="1"/>
    <col min="4" max="4" width="55" customWidth="1"/>
    <col min="5" max="5" width="48" customWidth="1"/>
    <col min="6" max="6" width="42" customWidth="1"/>
    <col min="7" max="7" width="40" customWidth="1"/>
    <col min="8" max="8" width="16" customWidth="1"/>
    <col min="9" max="9" width="30" customWidth="1"/>
  </cols>
  <sheetData>
    <row r="1" spans="1:9" x14ac:dyDescent="0.35">
      <c r="A1" s="6" t="s">
        <v>34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39</v>
      </c>
      <c r="I1" s="6" t="s">
        <v>72</v>
      </c>
    </row>
    <row r="2" spans="1:9" ht="105" customHeight="1" x14ac:dyDescent="0.35">
      <c r="A2" s="7">
        <v>1</v>
      </c>
      <c r="B2" s="1" t="s">
        <v>73</v>
      </c>
      <c r="C2" s="1" t="s">
        <v>40</v>
      </c>
      <c r="D2" s="1" t="s">
        <v>74</v>
      </c>
      <c r="E2" s="1" t="s">
        <v>75</v>
      </c>
      <c r="F2" s="1" t="s">
        <v>76</v>
      </c>
      <c r="G2" s="1" t="s">
        <v>77</v>
      </c>
      <c r="H2" s="8" t="s">
        <v>78</v>
      </c>
      <c r="I2" s="1"/>
    </row>
    <row r="3" spans="1:9" ht="105" customHeight="1" x14ac:dyDescent="0.35">
      <c r="A3" s="7">
        <v>2</v>
      </c>
      <c r="B3" s="1" t="s">
        <v>73</v>
      </c>
      <c r="C3" s="1" t="s">
        <v>41</v>
      </c>
      <c r="D3" s="1" t="s">
        <v>79</v>
      </c>
      <c r="E3" s="1" t="s">
        <v>80</v>
      </c>
      <c r="F3" s="1" t="s">
        <v>81</v>
      </c>
      <c r="G3" s="1" t="s">
        <v>82</v>
      </c>
      <c r="H3" s="8" t="s">
        <v>78</v>
      </c>
      <c r="I3" s="1"/>
    </row>
    <row r="4" spans="1:9" ht="105" customHeight="1" x14ac:dyDescent="0.35">
      <c r="A4" s="7">
        <v>3</v>
      </c>
      <c r="B4" s="1" t="s">
        <v>73</v>
      </c>
      <c r="C4" s="1" t="s">
        <v>42</v>
      </c>
      <c r="D4" s="1" t="s">
        <v>83</v>
      </c>
      <c r="E4" s="1" t="s">
        <v>84</v>
      </c>
      <c r="F4" s="1" t="s">
        <v>85</v>
      </c>
      <c r="G4" s="1" t="s">
        <v>86</v>
      </c>
      <c r="H4" s="8" t="s">
        <v>78</v>
      </c>
      <c r="I4" s="1"/>
    </row>
    <row r="5" spans="1:9" ht="105" customHeight="1" x14ac:dyDescent="0.35">
      <c r="A5" s="7">
        <v>4</v>
      </c>
      <c r="B5" s="1" t="s">
        <v>73</v>
      </c>
      <c r="C5" s="1" t="s">
        <v>43</v>
      </c>
      <c r="D5" s="1" t="s">
        <v>87</v>
      </c>
      <c r="E5" s="1" t="s">
        <v>88</v>
      </c>
      <c r="F5" s="1" t="s">
        <v>89</v>
      </c>
      <c r="G5" s="1" t="s">
        <v>90</v>
      </c>
      <c r="H5" s="8" t="s">
        <v>78</v>
      </c>
      <c r="I5" s="1"/>
    </row>
    <row r="6" spans="1:9" ht="105" customHeight="1" x14ac:dyDescent="0.35">
      <c r="A6" s="7">
        <v>5</v>
      </c>
      <c r="B6" s="1" t="s">
        <v>91</v>
      </c>
      <c r="C6" s="1" t="s">
        <v>44</v>
      </c>
      <c r="D6" s="1" t="s">
        <v>92</v>
      </c>
      <c r="E6" s="1" t="s">
        <v>93</v>
      </c>
      <c r="F6" s="1" t="s">
        <v>94</v>
      </c>
      <c r="G6" s="1" t="s">
        <v>95</v>
      </c>
      <c r="H6" s="8" t="s">
        <v>78</v>
      </c>
      <c r="I6" s="1"/>
    </row>
    <row r="7" spans="1:9" ht="105" customHeight="1" x14ac:dyDescent="0.35">
      <c r="A7" s="7">
        <v>6</v>
      </c>
      <c r="B7" s="1" t="s">
        <v>91</v>
      </c>
      <c r="C7" s="1" t="s">
        <v>45</v>
      </c>
      <c r="D7" s="1" t="s">
        <v>96</v>
      </c>
      <c r="E7" s="1" t="s">
        <v>97</v>
      </c>
      <c r="F7" s="1" t="s">
        <v>98</v>
      </c>
      <c r="G7" s="1" t="s">
        <v>99</v>
      </c>
      <c r="H7" s="8" t="s">
        <v>78</v>
      </c>
      <c r="I7" s="1"/>
    </row>
    <row r="8" spans="1:9" ht="105" customHeight="1" x14ac:dyDescent="0.35">
      <c r="A8" s="7">
        <v>7</v>
      </c>
      <c r="B8" s="1" t="s">
        <v>91</v>
      </c>
      <c r="C8" s="1" t="s">
        <v>46</v>
      </c>
      <c r="D8" s="1" t="s">
        <v>100</v>
      </c>
      <c r="E8" s="1" t="s">
        <v>101</v>
      </c>
      <c r="F8" s="1" t="s">
        <v>102</v>
      </c>
      <c r="G8" s="1" t="s">
        <v>103</v>
      </c>
      <c r="H8" s="8" t="s">
        <v>78</v>
      </c>
      <c r="I8" s="1"/>
    </row>
    <row r="9" spans="1:9" ht="105" customHeight="1" x14ac:dyDescent="0.35">
      <c r="A9" s="7">
        <v>8</v>
      </c>
      <c r="B9" s="1" t="s">
        <v>91</v>
      </c>
      <c r="C9" s="1" t="s">
        <v>47</v>
      </c>
      <c r="D9" s="1" t="s">
        <v>104</v>
      </c>
      <c r="E9" s="1" t="s">
        <v>105</v>
      </c>
      <c r="F9" s="1" t="s">
        <v>106</v>
      </c>
      <c r="G9" s="1" t="s">
        <v>107</v>
      </c>
      <c r="H9" s="8" t="s">
        <v>78</v>
      </c>
      <c r="I9" s="1"/>
    </row>
    <row r="10" spans="1:9" ht="105" customHeight="1" x14ac:dyDescent="0.35">
      <c r="A10" s="7">
        <v>9</v>
      </c>
      <c r="B10" s="1" t="s">
        <v>108</v>
      </c>
      <c r="C10" s="1" t="s">
        <v>48</v>
      </c>
      <c r="D10" s="1" t="s">
        <v>109</v>
      </c>
      <c r="E10" s="1" t="s">
        <v>110</v>
      </c>
      <c r="F10" s="1" t="s">
        <v>111</v>
      </c>
      <c r="G10" s="1" t="s">
        <v>112</v>
      </c>
      <c r="H10" s="8" t="s">
        <v>78</v>
      </c>
      <c r="I10" s="1"/>
    </row>
    <row r="11" spans="1:9" ht="105" customHeight="1" x14ac:dyDescent="0.35">
      <c r="A11" s="7">
        <v>10</v>
      </c>
      <c r="B11" s="1" t="s">
        <v>108</v>
      </c>
      <c r="C11" s="1" t="s">
        <v>49</v>
      </c>
      <c r="D11" s="1" t="s">
        <v>113</v>
      </c>
      <c r="E11" s="1" t="s">
        <v>114</v>
      </c>
      <c r="F11" s="1" t="s">
        <v>115</v>
      </c>
      <c r="G11" s="1" t="s">
        <v>116</v>
      </c>
      <c r="H11" s="8" t="s">
        <v>78</v>
      </c>
      <c r="I11" s="1"/>
    </row>
    <row r="12" spans="1:9" ht="105" customHeight="1" x14ac:dyDescent="0.35">
      <c r="A12" s="7">
        <v>11</v>
      </c>
      <c r="B12" s="1" t="s">
        <v>108</v>
      </c>
      <c r="C12" s="1" t="s">
        <v>50</v>
      </c>
      <c r="D12" s="1" t="s">
        <v>117</v>
      </c>
      <c r="E12" s="1" t="s">
        <v>118</v>
      </c>
      <c r="F12" s="1" t="s">
        <v>119</v>
      </c>
      <c r="G12" s="1" t="s">
        <v>120</v>
      </c>
      <c r="H12" s="8" t="s">
        <v>78</v>
      </c>
      <c r="I12" s="1"/>
    </row>
    <row r="13" spans="1:9" ht="105" customHeight="1" x14ac:dyDescent="0.35">
      <c r="A13" s="7">
        <v>12</v>
      </c>
      <c r="B13" s="1" t="s">
        <v>108</v>
      </c>
      <c r="C13" s="1" t="s">
        <v>51</v>
      </c>
      <c r="D13" s="1" t="s">
        <v>121</v>
      </c>
      <c r="E13" s="1" t="s">
        <v>122</v>
      </c>
      <c r="F13" s="1" t="s">
        <v>123</v>
      </c>
      <c r="G13" s="1" t="s">
        <v>124</v>
      </c>
      <c r="H13" s="8" t="s">
        <v>78</v>
      </c>
      <c r="I13" s="1"/>
    </row>
    <row r="14" spans="1:9" ht="105" customHeight="1" x14ac:dyDescent="0.35">
      <c r="A14" s="7">
        <v>13</v>
      </c>
      <c r="B14" s="1" t="s">
        <v>125</v>
      </c>
      <c r="C14" s="1" t="s">
        <v>52</v>
      </c>
      <c r="D14" s="1" t="s">
        <v>126</v>
      </c>
      <c r="E14" s="1" t="s">
        <v>127</v>
      </c>
      <c r="F14" s="1" t="s">
        <v>128</v>
      </c>
      <c r="G14" s="1" t="s">
        <v>129</v>
      </c>
      <c r="H14" s="8" t="s">
        <v>78</v>
      </c>
      <c r="I14" s="1"/>
    </row>
    <row r="15" spans="1:9" ht="105" customHeight="1" x14ac:dyDescent="0.35">
      <c r="A15" s="7">
        <v>14</v>
      </c>
      <c r="B15" s="1" t="s">
        <v>125</v>
      </c>
      <c r="C15" s="1" t="s">
        <v>53</v>
      </c>
      <c r="D15" s="1" t="s">
        <v>130</v>
      </c>
      <c r="E15" s="1" t="s">
        <v>131</v>
      </c>
      <c r="F15" s="1" t="s">
        <v>132</v>
      </c>
      <c r="G15" s="1" t="s">
        <v>133</v>
      </c>
      <c r="H15" s="8" t="s">
        <v>78</v>
      </c>
      <c r="I15" s="1"/>
    </row>
    <row r="16" spans="1:9" ht="105" customHeight="1" x14ac:dyDescent="0.35">
      <c r="A16" s="7">
        <v>15</v>
      </c>
      <c r="B16" s="1" t="s">
        <v>125</v>
      </c>
      <c r="C16" s="1" t="s">
        <v>54</v>
      </c>
      <c r="D16" s="1" t="s">
        <v>134</v>
      </c>
      <c r="E16" s="1" t="s">
        <v>135</v>
      </c>
      <c r="F16" s="1" t="s">
        <v>136</v>
      </c>
      <c r="G16" s="1" t="s">
        <v>137</v>
      </c>
      <c r="H16" s="8" t="s">
        <v>78</v>
      </c>
      <c r="I16" s="1"/>
    </row>
    <row r="17" spans="1:9" ht="105" customHeight="1" x14ac:dyDescent="0.35">
      <c r="A17" s="7">
        <v>16</v>
      </c>
      <c r="B17" s="1" t="s">
        <v>125</v>
      </c>
      <c r="C17" s="1" t="s">
        <v>55</v>
      </c>
      <c r="D17" s="1" t="s">
        <v>138</v>
      </c>
      <c r="E17" s="1" t="s">
        <v>139</v>
      </c>
      <c r="F17" s="1" t="s">
        <v>140</v>
      </c>
      <c r="G17" s="1" t="s">
        <v>141</v>
      </c>
      <c r="H17" s="8" t="s">
        <v>78</v>
      </c>
      <c r="I17" s="1"/>
    </row>
    <row r="18" spans="1:9" ht="105" customHeight="1" x14ac:dyDescent="0.35">
      <c r="A18" s="7">
        <v>17</v>
      </c>
      <c r="B18" s="1" t="s">
        <v>142</v>
      </c>
      <c r="C18" s="1" t="s">
        <v>56</v>
      </c>
      <c r="D18" s="1" t="s">
        <v>143</v>
      </c>
      <c r="E18" s="1" t="s">
        <v>144</v>
      </c>
      <c r="F18" s="1" t="s">
        <v>145</v>
      </c>
      <c r="G18" s="1" t="s">
        <v>146</v>
      </c>
      <c r="H18" s="8" t="s">
        <v>78</v>
      </c>
      <c r="I18" s="1"/>
    </row>
    <row r="19" spans="1:9" ht="105" customHeight="1" x14ac:dyDescent="0.35">
      <c r="A19" s="7">
        <v>18</v>
      </c>
      <c r="B19" s="1" t="s">
        <v>142</v>
      </c>
      <c r="C19" s="1" t="s">
        <v>57</v>
      </c>
      <c r="D19" s="1" t="s">
        <v>147</v>
      </c>
      <c r="E19" s="1" t="s">
        <v>148</v>
      </c>
      <c r="F19" s="1" t="s">
        <v>149</v>
      </c>
      <c r="G19" s="1" t="s">
        <v>150</v>
      </c>
      <c r="H19" s="8" t="s">
        <v>78</v>
      </c>
      <c r="I19" s="1"/>
    </row>
    <row r="20" spans="1:9" ht="105" customHeight="1" x14ac:dyDescent="0.35">
      <c r="A20" s="7">
        <v>19</v>
      </c>
      <c r="B20" s="1" t="s">
        <v>142</v>
      </c>
      <c r="C20" s="1" t="s">
        <v>58</v>
      </c>
      <c r="D20" s="1" t="s">
        <v>151</v>
      </c>
      <c r="E20" s="1" t="s">
        <v>152</v>
      </c>
      <c r="F20" s="1" t="s">
        <v>153</v>
      </c>
      <c r="G20" s="1" t="s">
        <v>154</v>
      </c>
      <c r="H20" s="8" t="s">
        <v>78</v>
      </c>
      <c r="I20" s="1"/>
    </row>
    <row r="21" spans="1:9" ht="105" customHeight="1" x14ac:dyDescent="0.35">
      <c r="A21" s="7">
        <v>20</v>
      </c>
      <c r="B21" s="1" t="s">
        <v>142</v>
      </c>
      <c r="C21" s="1" t="s">
        <v>59</v>
      </c>
      <c r="D21" s="1" t="s">
        <v>155</v>
      </c>
      <c r="E21" s="1" t="s">
        <v>156</v>
      </c>
      <c r="F21" s="1" t="s">
        <v>157</v>
      </c>
      <c r="G21" s="1" t="s">
        <v>158</v>
      </c>
      <c r="H21" s="8" t="s">
        <v>78</v>
      </c>
      <c r="I21" s="1"/>
    </row>
    <row r="22" spans="1:9" ht="105" customHeight="1" x14ac:dyDescent="0.35">
      <c r="A22" s="7">
        <v>21</v>
      </c>
      <c r="B22" s="1" t="s">
        <v>159</v>
      </c>
      <c r="C22" s="1" t="s">
        <v>60</v>
      </c>
      <c r="D22" s="1" t="s">
        <v>160</v>
      </c>
      <c r="E22" s="1" t="s">
        <v>161</v>
      </c>
      <c r="F22" s="1" t="s">
        <v>162</v>
      </c>
      <c r="G22" s="1" t="s">
        <v>163</v>
      </c>
      <c r="H22" s="8" t="s">
        <v>78</v>
      </c>
      <c r="I22" s="1"/>
    </row>
    <row r="23" spans="1:9" ht="105" customHeight="1" x14ac:dyDescent="0.35">
      <c r="A23" s="7">
        <v>22</v>
      </c>
      <c r="B23" s="1" t="s">
        <v>159</v>
      </c>
      <c r="C23" s="1" t="s">
        <v>61</v>
      </c>
      <c r="D23" s="1" t="s">
        <v>164</v>
      </c>
      <c r="E23" s="1" t="s">
        <v>165</v>
      </c>
      <c r="F23" s="1" t="s">
        <v>166</v>
      </c>
      <c r="G23" s="1" t="s">
        <v>167</v>
      </c>
      <c r="H23" s="8" t="s">
        <v>78</v>
      </c>
      <c r="I23" s="1"/>
    </row>
    <row r="24" spans="1:9" ht="105" customHeight="1" x14ac:dyDescent="0.35">
      <c r="A24" s="7">
        <v>23</v>
      </c>
      <c r="B24" s="1" t="s">
        <v>159</v>
      </c>
      <c r="C24" s="1" t="s">
        <v>62</v>
      </c>
      <c r="D24" s="1" t="s">
        <v>168</v>
      </c>
      <c r="E24" s="1" t="s">
        <v>169</v>
      </c>
      <c r="F24" s="1" t="s">
        <v>170</v>
      </c>
      <c r="G24" s="1" t="s">
        <v>171</v>
      </c>
      <c r="H24" s="8" t="s">
        <v>78</v>
      </c>
      <c r="I24" s="1"/>
    </row>
    <row r="25" spans="1:9" ht="105" customHeight="1" x14ac:dyDescent="0.35">
      <c r="A25" s="7">
        <v>24</v>
      </c>
      <c r="B25" s="1" t="s">
        <v>159</v>
      </c>
      <c r="C25" s="1" t="s">
        <v>63</v>
      </c>
      <c r="D25" s="1" t="s">
        <v>172</v>
      </c>
      <c r="E25" s="1" t="s">
        <v>173</v>
      </c>
      <c r="F25" s="1" t="s">
        <v>174</v>
      </c>
      <c r="G25" s="1" t="s">
        <v>175</v>
      </c>
      <c r="H25" s="8" t="s">
        <v>78</v>
      </c>
      <c r="I25" s="1"/>
    </row>
    <row r="26" spans="1:9" ht="105" customHeight="1" x14ac:dyDescent="0.35">
      <c r="A26" s="7">
        <v>25</v>
      </c>
      <c r="B26" s="1" t="s">
        <v>159</v>
      </c>
      <c r="C26" s="1" t="s">
        <v>64</v>
      </c>
      <c r="D26" s="1" t="s">
        <v>176</v>
      </c>
      <c r="E26" s="1" t="s">
        <v>177</v>
      </c>
      <c r="F26" s="1" t="s">
        <v>178</v>
      </c>
      <c r="G26" s="1" t="s">
        <v>179</v>
      </c>
      <c r="H26" s="8" t="s">
        <v>78</v>
      </c>
      <c r="I26" s="1"/>
    </row>
    <row r="27" spans="1:9" ht="105" customHeight="1" x14ac:dyDescent="0.35">
      <c r="A27" s="7">
        <v>26</v>
      </c>
      <c r="B27" s="1" t="s">
        <v>159</v>
      </c>
      <c r="C27" s="1" t="s">
        <v>65</v>
      </c>
      <c r="D27" s="1" t="s">
        <v>180</v>
      </c>
      <c r="E27" s="1" t="s">
        <v>181</v>
      </c>
      <c r="F27" s="1" t="s">
        <v>182</v>
      </c>
      <c r="G27" s="1" t="s">
        <v>183</v>
      </c>
      <c r="H27" s="8" t="s">
        <v>78</v>
      </c>
      <c r="I27" s="1"/>
    </row>
  </sheetData>
  <autoFilter ref="A1:I27" xr:uid="{00000000-0009-0000-0000-000002000000}"/>
  <dataValidations count="1">
    <dataValidation type="list" sqref="H2:H27" xr:uid="{00000000-0002-0000-0200-000000000000}">
      <formula1>"Not Started,In Progress,Blocked,Completed"</formula1>
    </dataValidation>
  </dataValidations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8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8" customWidth="1"/>
    <col min="2" max="2" width="11" customWidth="1"/>
    <col min="3" max="3" width="9" customWidth="1"/>
    <col min="4" max="4" width="25" customWidth="1"/>
    <col min="5" max="5" width="54" customWidth="1"/>
    <col min="6" max="6" width="48" customWidth="1"/>
    <col min="7" max="7" width="14" customWidth="1"/>
    <col min="8" max="8" width="16" customWidth="1"/>
    <col min="9" max="9" width="13" customWidth="1"/>
    <col min="10" max="10" width="16" customWidth="1"/>
    <col min="11" max="11" width="36" customWidth="1"/>
    <col min="12" max="12" width="30" customWidth="1"/>
  </cols>
  <sheetData>
    <row r="1" spans="1:12" x14ac:dyDescent="0.35">
      <c r="A1" s="6" t="s">
        <v>34</v>
      </c>
      <c r="B1" s="6" t="s">
        <v>66</v>
      </c>
      <c r="C1" s="6" t="s">
        <v>184</v>
      </c>
      <c r="D1" s="6" t="s">
        <v>185</v>
      </c>
      <c r="E1" s="6" t="s">
        <v>186</v>
      </c>
      <c r="F1" s="6" t="s">
        <v>187</v>
      </c>
      <c r="G1" s="6" t="s">
        <v>188</v>
      </c>
      <c r="H1" s="6" t="s">
        <v>189</v>
      </c>
      <c r="I1" s="6" t="s">
        <v>190</v>
      </c>
      <c r="J1" s="6" t="s">
        <v>39</v>
      </c>
      <c r="K1" s="6" t="s">
        <v>191</v>
      </c>
      <c r="L1" s="6" t="s">
        <v>192</v>
      </c>
    </row>
    <row r="2" spans="1:12" ht="66" customHeight="1" x14ac:dyDescent="0.35">
      <c r="A2" s="7">
        <v>1</v>
      </c>
      <c r="B2" s="1" t="s">
        <v>73</v>
      </c>
      <c r="C2" s="1" t="s">
        <v>193</v>
      </c>
      <c r="D2" s="1" t="s">
        <v>194</v>
      </c>
      <c r="E2" s="1" t="s">
        <v>195</v>
      </c>
      <c r="F2" s="1" t="s">
        <v>196</v>
      </c>
      <c r="G2" s="9">
        <v>1.5</v>
      </c>
      <c r="H2" s="10"/>
      <c r="I2" s="9">
        <v>0</v>
      </c>
      <c r="J2" s="1" t="s">
        <v>78</v>
      </c>
      <c r="K2" s="1"/>
      <c r="L2" s="1"/>
    </row>
    <row r="3" spans="1:12" ht="66" customHeight="1" x14ac:dyDescent="0.35">
      <c r="A3" s="7">
        <v>1</v>
      </c>
      <c r="B3" s="1" t="s">
        <v>73</v>
      </c>
      <c r="C3" s="1" t="s">
        <v>197</v>
      </c>
      <c r="D3" s="1" t="s">
        <v>198</v>
      </c>
      <c r="E3" s="1" t="s">
        <v>199</v>
      </c>
      <c r="F3" s="1" t="s">
        <v>200</v>
      </c>
      <c r="G3" s="9">
        <v>1.5</v>
      </c>
      <c r="H3" s="10"/>
      <c r="I3" s="9">
        <v>0</v>
      </c>
      <c r="J3" s="1" t="s">
        <v>78</v>
      </c>
      <c r="K3" s="1"/>
      <c r="L3" s="1"/>
    </row>
    <row r="4" spans="1:12" ht="66" customHeight="1" x14ac:dyDescent="0.35">
      <c r="A4" s="7">
        <v>1</v>
      </c>
      <c r="B4" s="1" t="s">
        <v>73</v>
      </c>
      <c r="C4" s="1" t="s">
        <v>201</v>
      </c>
      <c r="D4" s="1" t="s">
        <v>202</v>
      </c>
      <c r="E4" s="1" t="s">
        <v>203</v>
      </c>
      <c r="F4" s="1" t="s">
        <v>204</v>
      </c>
      <c r="G4" s="9">
        <v>1.5</v>
      </c>
      <c r="H4" s="10"/>
      <c r="I4" s="9">
        <v>0</v>
      </c>
      <c r="J4" s="1" t="s">
        <v>78</v>
      </c>
      <c r="K4" s="1"/>
      <c r="L4" s="1"/>
    </row>
    <row r="5" spans="1:12" ht="66" customHeight="1" x14ac:dyDescent="0.35">
      <c r="A5" s="7">
        <v>1</v>
      </c>
      <c r="B5" s="1" t="s">
        <v>73</v>
      </c>
      <c r="C5" s="1" t="s">
        <v>205</v>
      </c>
      <c r="D5" s="1" t="s">
        <v>206</v>
      </c>
      <c r="E5" s="1" t="s">
        <v>207</v>
      </c>
      <c r="F5" s="1" t="s">
        <v>208</v>
      </c>
      <c r="G5" s="9">
        <v>1.5</v>
      </c>
      <c r="H5" s="10"/>
      <c r="I5" s="9">
        <v>0</v>
      </c>
      <c r="J5" s="1" t="s">
        <v>78</v>
      </c>
      <c r="K5" s="1"/>
      <c r="L5" s="1"/>
    </row>
    <row r="6" spans="1:12" ht="66" customHeight="1" x14ac:dyDescent="0.35">
      <c r="A6" s="7">
        <v>1</v>
      </c>
      <c r="B6" s="1" t="s">
        <v>73</v>
      </c>
      <c r="C6" s="1" t="s">
        <v>209</v>
      </c>
      <c r="D6" s="1" t="s">
        <v>210</v>
      </c>
      <c r="E6" s="1" t="s">
        <v>211</v>
      </c>
      <c r="F6" s="1" t="s">
        <v>212</v>
      </c>
      <c r="G6" s="9">
        <v>1.5</v>
      </c>
      <c r="H6" s="10"/>
      <c r="I6" s="9">
        <v>0</v>
      </c>
      <c r="J6" s="1" t="s">
        <v>78</v>
      </c>
      <c r="K6" s="1"/>
      <c r="L6" s="1"/>
    </row>
    <row r="7" spans="1:12" ht="66" customHeight="1" x14ac:dyDescent="0.35">
      <c r="A7" s="7">
        <v>1</v>
      </c>
      <c r="B7" s="1" t="s">
        <v>73</v>
      </c>
      <c r="C7" s="1" t="s">
        <v>17</v>
      </c>
      <c r="D7" s="1" t="s">
        <v>213</v>
      </c>
      <c r="E7" s="1" t="s">
        <v>214</v>
      </c>
      <c r="F7" s="1" t="s">
        <v>215</v>
      </c>
      <c r="G7" s="9">
        <v>1.5</v>
      </c>
      <c r="H7" s="10"/>
      <c r="I7" s="9">
        <v>0</v>
      </c>
      <c r="J7" s="1" t="s">
        <v>78</v>
      </c>
      <c r="K7" s="1"/>
      <c r="L7" s="1"/>
    </row>
    <row r="8" spans="1:12" ht="66" customHeight="1" x14ac:dyDescent="0.35">
      <c r="A8" s="7">
        <v>1</v>
      </c>
      <c r="B8" s="1" t="s">
        <v>73</v>
      </c>
      <c r="C8" s="1" t="s">
        <v>20</v>
      </c>
      <c r="D8" s="1" t="s">
        <v>216</v>
      </c>
      <c r="E8" s="1" t="s">
        <v>217</v>
      </c>
      <c r="F8" s="1" t="s">
        <v>218</v>
      </c>
      <c r="G8" s="9">
        <v>1</v>
      </c>
      <c r="H8" s="10"/>
      <c r="I8" s="9">
        <v>0</v>
      </c>
      <c r="J8" s="1" t="s">
        <v>78</v>
      </c>
      <c r="K8" s="1"/>
      <c r="L8" s="1"/>
    </row>
    <row r="9" spans="1:12" ht="66" customHeight="1" x14ac:dyDescent="0.35">
      <c r="A9" s="7">
        <v>2</v>
      </c>
      <c r="B9" s="1" t="s">
        <v>73</v>
      </c>
      <c r="C9" s="1" t="s">
        <v>193</v>
      </c>
      <c r="D9" s="1" t="s">
        <v>194</v>
      </c>
      <c r="E9" s="1" t="s">
        <v>219</v>
      </c>
      <c r="F9" s="1" t="s">
        <v>220</v>
      </c>
      <c r="G9" s="9">
        <v>1.5</v>
      </c>
      <c r="H9" s="10"/>
      <c r="I9" s="9">
        <v>0</v>
      </c>
      <c r="J9" s="1" t="s">
        <v>78</v>
      </c>
      <c r="K9" s="1"/>
      <c r="L9" s="1"/>
    </row>
    <row r="10" spans="1:12" ht="66" customHeight="1" x14ac:dyDescent="0.35">
      <c r="A10" s="7">
        <v>2</v>
      </c>
      <c r="B10" s="1" t="s">
        <v>73</v>
      </c>
      <c r="C10" s="1" t="s">
        <v>197</v>
      </c>
      <c r="D10" s="1" t="s">
        <v>198</v>
      </c>
      <c r="E10" s="1" t="s">
        <v>221</v>
      </c>
      <c r="F10" s="1" t="s">
        <v>222</v>
      </c>
      <c r="G10" s="9">
        <v>1.5</v>
      </c>
      <c r="H10" s="10"/>
      <c r="I10" s="9">
        <v>0</v>
      </c>
      <c r="J10" s="1" t="s">
        <v>78</v>
      </c>
      <c r="K10" s="1"/>
      <c r="L10" s="1"/>
    </row>
    <row r="11" spans="1:12" ht="66" customHeight="1" x14ac:dyDescent="0.35">
      <c r="A11" s="7">
        <v>2</v>
      </c>
      <c r="B11" s="1" t="s">
        <v>73</v>
      </c>
      <c r="C11" s="1" t="s">
        <v>201</v>
      </c>
      <c r="D11" s="1" t="s">
        <v>202</v>
      </c>
      <c r="E11" s="1" t="s">
        <v>223</v>
      </c>
      <c r="F11" s="1" t="s">
        <v>224</v>
      </c>
      <c r="G11" s="9">
        <v>1.5</v>
      </c>
      <c r="H11" s="10"/>
      <c r="I11" s="9">
        <v>0</v>
      </c>
      <c r="J11" s="1" t="s">
        <v>78</v>
      </c>
      <c r="K11" s="1"/>
      <c r="L11" s="1"/>
    </row>
    <row r="12" spans="1:12" ht="66" customHeight="1" x14ac:dyDescent="0.35">
      <c r="A12" s="7">
        <v>2</v>
      </c>
      <c r="B12" s="1" t="s">
        <v>73</v>
      </c>
      <c r="C12" s="1" t="s">
        <v>205</v>
      </c>
      <c r="D12" s="1" t="s">
        <v>206</v>
      </c>
      <c r="E12" s="1" t="s">
        <v>225</v>
      </c>
      <c r="F12" s="1" t="s">
        <v>226</v>
      </c>
      <c r="G12" s="9">
        <v>1.5</v>
      </c>
      <c r="H12" s="10"/>
      <c r="I12" s="9">
        <v>0</v>
      </c>
      <c r="J12" s="1" t="s">
        <v>78</v>
      </c>
      <c r="K12" s="1"/>
      <c r="L12" s="1"/>
    </row>
    <row r="13" spans="1:12" ht="66" customHeight="1" x14ac:dyDescent="0.35">
      <c r="A13" s="7">
        <v>2</v>
      </c>
      <c r="B13" s="1" t="s">
        <v>73</v>
      </c>
      <c r="C13" s="1" t="s">
        <v>209</v>
      </c>
      <c r="D13" s="1" t="s">
        <v>210</v>
      </c>
      <c r="E13" s="1" t="s">
        <v>227</v>
      </c>
      <c r="F13" s="1" t="s">
        <v>228</v>
      </c>
      <c r="G13" s="9">
        <v>1.5</v>
      </c>
      <c r="H13" s="10"/>
      <c r="I13" s="9">
        <v>0</v>
      </c>
      <c r="J13" s="1" t="s">
        <v>78</v>
      </c>
      <c r="K13" s="1"/>
      <c r="L13" s="1"/>
    </row>
    <row r="14" spans="1:12" ht="66" customHeight="1" x14ac:dyDescent="0.35">
      <c r="A14" s="7">
        <v>2</v>
      </c>
      <c r="B14" s="1" t="s">
        <v>73</v>
      </c>
      <c r="C14" s="1" t="s">
        <v>17</v>
      </c>
      <c r="D14" s="1" t="s">
        <v>213</v>
      </c>
      <c r="E14" s="1" t="s">
        <v>229</v>
      </c>
      <c r="F14" s="1" t="s">
        <v>230</v>
      </c>
      <c r="G14" s="9">
        <v>1.5</v>
      </c>
      <c r="H14" s="10"/>
      <c r="I14" s="9">
        <v>0</v>
      </c>
      <c r="J14" s="1" t="s">
        <v>78</v>
      </c>
      <c r="K14" s="1"/>
      <c r="L14" s="1"/>
    </row>
    <row r="15" spans="1:12" ht="66" customHeight="1" x14ac:dyDescent="0.35">
      <c r="A15" s="7">
        <v>2</v>
      </c>
      <c r="B15" s="1" t="s">
        <v>73</v>
      </c>
      <c r="C15" s="1" t="s">
        <v>20</v>
      </c>
      <c r="D15" s="1" t="s">
        <v>216</v>
      </c>
      <c r="E15" s="1" t="s">
        <v>231</v>
      </c>
      <c r="F15" s="1" t="s">
        <v>232</v>
      </c>
      <c r="G15" s="9">
        <v>1</v>
      </c>
      <c r="H15" s="10"/>
      <c r="I15" s="9">
        <v>0</v>
      </c>
      <c r="J15" s="1" t="s">
        <v>78</v>
      </c>
      <c r="K15" s="1"/>
      <c r="L15" s="1"/>
    </row>
    <row r="16" spans="1:12" ht="66" customHeight="1" x14ac:dyDescent="0.35">
      <c r="A16" s="7">
        <v>3</v>
      </c>
      <c r="B16" s="1" t="s">
        <v>73</v>
      </c>
      <c r="C16" s="1" t="s">
        <v>193</v>
      </c>
      <c r="D16" s="1" t="s">
        <v>194</v>
      </c>
      <c r="E16" s="1" t="s">
        <v>233</v>
      </c>
      <c r="F16" s="1" t="s">
        <v>234</v>
      </c>
      <c r="G16" s="9">
        <v>1.5</v>
      </c>
      <c r="H16" s="10"/>
      <c r="I16" s="9">
        <v>0</v>
      </c>
      <c r="J16" s="1" t="s">
        <v>78</v>
      </c>
      <c r="K16" s="1"/>
      <c r="L16" s="1"/>
    </row>
    <row r="17" spans="1:12" ht="66" customHeight="1" x14ac:dyDescent="0.35">
      <c r="A17" s="7">
        <v>3</v>
      </c>
      <c r="B17" s="1" t="s">
        <v>73</v>
      </c>
      <c r="C17" s="1" t="s">
        <v>197</v>
      </c>
      <c r="D17" s="1" t="s">
        <v>198</v>
      </c>
      <c r="E17" s="1" t="s">
        <v>235</v>
      </c>
      <c r="F17" s="1" t="s">
        <v>236</v>
      </c>
      <c r="G17" s="9">
        <v>1.5</v>
      </c>
      <c r="H17" s="10"/>
      <c r="I17" s="9">
        <v>0</v>
      </c>
      <c r="J17" s="1" t="s">
        <v>78</v>
      </c>
      <c r="K17" s="1"/>
      <c r="L17" s="1"/>
    </row>
    <row r="18" spans="1:12" ht="66" customHeight="1" x14ac:dyDescent="0.35">
      <c r="A18" s="7">
        <v>3</v>
      </c>
      <c r="B18" s="1" t="s">
        <v>73</v>
      </c>
      <c r="C18" s="1" t="s">
        <v>201</v>
      </c>
      <c r="D18" s="1" t="s">
        <v>202</v>
      </c>
      <c r="E18" s="1" t="s">
        <v>237</v>
      </c>
      <c r="F18" s="1" t="s">
        <v>238</v>
      </c>
      <c r="G18" s="9">
        <v>1.5</v>
      </c>
      <c r="H18" s="10"/>
      <c r="I18" s="9">
        <v>0</v>
      </c>
      <c r="J18" s="1" t="s">
        <v>78</v>
      </c>
      <c r="K18" s="1"/>
      <c r="L18" s="1"/>
    </row>
    <row r="19" spans="1:12" ht="66" customHeight="1" x14ac:dyDescent="0.35">
      <c r="A19" s="7">
        <v>3</v>
      </c>
      <c r="B19" s="1" t="s">
        <v>73</v>
      </c>
      <c r="C19" s="1" t="s">
        <v>205</v>
      </c>
      <c r="D19" s="1" t="s">
        <v>206</v>
      </c>
      <c r="E19" s="1" t="s">
        <v>239</v>
      </c>
      <c r="F19" s="1" t="s">
        <v>240</v>
      </c>
      <c r="G19" s="9">
        <v>1.5</v>
      </c>
      <c r="H19" s="10"/>
      <c r="I19" s="9">
        <v>0</v>
      </c>
      <c r="J19" s="1" t="s">
        <v>78</v>
      </c>
      <c r="K19" s="1"/>
      <c r="L19" s="1"/>
    </row>
    <row r="20" spans="1:12" ht="66" customHeight="1" x14ac:dyDescent="0.35">
      <c r="A20" s="7">
        <v>3</v>
      </c>
      <c r="B20" s="1" t="s">
        <v>73</v>
      </c>
      <c r="C20" s="1" t="s">
        <v>209</v>
      </c>
      <c r="D20" s="1" t="s">
        <v>210</v>
      </c>
      <c r="E20" s="1" t="s">
        <v>241</v>
      </c>
      <c r="F20" s="1" t="s">
        <v>242</v>
      </c>
      <c r="G20" s="9">
        <v>1.5</v>
      </c>
      <c r="H20" s="10"/>
      <c r="I20" s="9">
        <v>0</v>
      </c>
      <c r="J20" s="1" t="s">
        <v>78</v>
      </c>
      <c r="K20" s="1"/>
      <c r="L20" s="1"/>
    </row>
    <row r="21" spans="1:12" ht="66" customHeight="1" x14ac:dyDescent="0.35">
      <c r="A21" s="7">
        <v>3</v>
      </c>
      <c r="B21" s="1" t="s">
        <v>73</v>
      </c>
      <c r="C21" s="1" t="s">
        <v>17</v>
      </c>
      <c r="D21" s="1" t="s">
        <v>213</v>
      </c>
      <c r="E21" s="1" t="s">
        <v>243</v>
      </c>
      <c r="F21" s="1" t="s">
        <v>244</v>
      </c>
      <c r="G21" s="9">
        <v>1.5</v>
      </c>
      <c r="H21" s="10"/>
      <c r="I21" s="9">
        <v>0</v>
      </c>
      <c r="J21" s="1" t="s">
        <v>78</v>
      </c>
      <c r="K21" s="1"/>
      <c r="L21" s="1"/>
    </row>
    <row r="22" spans="1:12" ht="66" customHeight="1" x14ac:dyDescent="0.35">
      <c r="A22" s="7">
        <v>3</v>
      </c>
      <c r="B22" s="1" t="s">
        <v>73</v>
      </c>
      <c r="C22" s="1" t="s">
        <v>20</v>
      </c>
      <c r="D22" s="1" t="s">
        <v>216</v>
      </c>
      <c r="E22" s="1" t="s">
        <v>245</v>
      </c>
      <c r="F22" s="1" t="s">
        <v>246</v>
      </c>
      <c r="G22" s="9">
        <v>1</v>
      </c>
      <c r="H22" s="10"/>
      <c r="I22" s="9">
        <v>0</v>
      </c>
      <c r="J22" s="1" t="s">
        <v>78</v>
      </c>
      <c r="K22" s="1"/>
      <c r="L22" s="1"/>
    </row>
    <row r="23" spans="1:12" ht="66" customHeight="1" x14ac:dyDescent="0.35">
      <c r="A23" s="7">
        <v>4</v>
      </c>
      <c r="B23" s="1" t="s">
        <v>73</v>
      </c>
      <c r="C23" s="1" t="s">
        <v>193</v>
      </c>
      <c r="D23" s="1" t="s">
        <v>194</v>
      </c>
      <c r="E23" s="1" t="s">
        <v>247</v>
      </c>
      <c r="F23" s="1" t="s">
        <v>248</v>
      </c>
      <c r="G23" s="9">
        <v>1.5</v>
      </c>
      <c r="H23" s="10"/>
      <c r="I23" s="9">
        <v>0</v>
      </c>
      <c r="J23" s="1" t="s">
        <v>78</v>
      </c>
      <c r="K23" s="1"/>
      <c r="L23" s="1"/>
    </row>
    <row r="24" spans="1:12" ht="66" customHeight="1" x14ac:dyDescent="0.35">
      <c r="A24" s="7">
        <v>4</v>
      </c>
      <c r="B24" s="1" t="s">
        <v>73</v>
      </c>
      <c r="C24" s="1" t="s">
        <v>197</v>
      </c>
      <c r="D24" s="1" t="s">
        <v>198</v>
      </c>
      <c r="E24" s="1" t="s">
        <v>249</v>
      </c>
      <c r="F24" s="1" t="s">
        <v>250</v>
      </c>
      <c r="G24" s="9">
        <v>1.5</v>
      </c>
      <c r="H24" s="10"/>
      <c r="I24" s="9">
        <v>0</v>
      </c>
      <c r="J24" s="1" t="s">
        <v>78</v>
      </c>
      <c r="K24" s="1"/>
      <c r="L24" s="1"/>
    </row>
    <row r="25" spans="1:12" ht="66" customHeight="1" x14ac:dyDescent="0.35">
      <c r="A25" s="7">
        <v>4</v>
      </c>
      <c r="B25" s="1" t="s">
        <v>73</v>
      </c>
      <c r="C25" s="1" t="s">
        <v>201</v>
      </c>
      <c r="D25" s="1" t="s">
        <v>202</v>
      </c>
      <c r="E25" s="1" t="s">
        <v>251</v>
      </c>
      <c r="F25" s="1" t="s">
        <v>252</v>
      </c>
      <c r="G25" s="9">
        <v>1.5</v>
      </c>
      <c r="H25" s="10"/>
      <c r="I25" s="9">
        <v>0</v>
      </c>
      <c r="J25" s="1" t="s">
        <v>78</v>
      </c>
      <c r="K25" s="1"/>
      <c r="L25" s="1"/>
    </row>
    <row r="26" spans="1:12" ht="66" customHeight="1" x14ac:dyDescent="0.35">
      <c r="A26" s="7">
        <v>4</v>
      </c>
      <c r="B26" s="1" t="s">
        <v>73</v>
      </c>
      <c r="C26" s="1" t="s">
        <v>205</v>
      </c>
      <c r="D26" s="1" t="s">
        <v>206</v>
      </c>
      <c r="E26" s="1" t="s">
        <v>253</v>
      </c>
      <c r="F26" s="1" t="s">
        <v>254</v>
      </c>
      <c r="G26" s="9">
        <v>1.5</v>
      </c>
      <c r="H26" s="10"/>
      <c r="I26" s="9">
        <v>0</v>
      </c>
      <c r="J26" s="1" t="s">
        <v>78</v>
      </c>
      <c r="K26" s="1"/>
      <c r="L26" s="1"/>
    </row>
    <row r="27" spans="1:12" ht="66" customHeight="1" x14ac:dyDescent="0.35">
      <c r="A27" s="7">
        <v>4</v>
      </c>
      <c r="B27" s="1" t="s">
        <v>73</v>
      </c>
      <c r="C27" s="1" t="s">
        <v>209</v>
      </c>
      <c r="D27" s="1" t="s">
        <v>210</v>
      </c>
      <c r="E27" s="1" t="s">
        <v>255</v>
      </c>
      <c r="F27" s="1" t="s">
        <v>256</v>
      </c>
      <c r="G27" s="9">
        <v>1.5</v>
      </c>
      <c r="H27" s="10"/>
      <c r="I27" s="9">
        <v>0</v>
      </c>
      <c r="J27" s="1" t="s">
        <v>78</v>
      </c>
      <c r="K27" s="1"/>
      <c r="L27" s="1"/>
    </row>
    <row r="28" spans="1:12" ht="66" customHeight="1" x14ac:dyDescent="0.35">
      <c r="A28" s="7">
        <v>4</v>
      </c>
      <c r="B28" s="1" t="s">
        <v>73</v>
      </c>
      <c r="C28" s="1" t="s">
        <v>17</v>
      </c>
      <c r="D28" s="1" t="s">
        <v>213</v>
      </c>
      <c r="E28" s="1" t="s">
        <v>257</v>
      </c>
      <c r="F28" s="1" t="s">
        <v>258</v>
      </c>
      <c r="G28" s="9">
        <v>1.5</v>
      </c>
      <c r="H28" s="10"/>
      <c r="I28" s="9">
        <v>0</v>
      </c>
      <c r="J28" s="1" t="s">
        <v>78</v>
      </c>
      <c r="K28" s="1"/>
      <c r="L28" s="1"/>
    </row>
    <row r="29" spans="1:12" ht="66" customHeight="1" x14ac:dyDescent="0.35">
      <c r="A29" s="7">
        <v>4</v>
      </c>
      <c r="B29" s="1" t="s">
        <v>73</v>
      </c>
      <c r="C29" s="1" t="s">
        <v>20</v>
      </c>
      <c r="D29" s="1" t="s">
        <v>216</v>
      </c>
      <c r="E29" s="1" t="s">
        <v>259</v>
      </c>
      <c r="F29" s="1" t="s">
        <v>260</v>
      </c>
      <c r="G29" s="9">
        <v>1</v>
      </c>
      <c r="H29" s="10"/>
      <c r="I29" s="9">
        <v>0</v>
      </c>
      <c r="J29" s="1" t="s">
        <v>78</v>
      </c>
      <c r="K29" s="1"/>
      <c r="L29" s="1"/>
    </row>
    <row r="30" spans="1:12" ht="66" customHeight="1" x14ac:dyDescent="0.35">
      <c r="A30" s="7">
        <v>5</v>
      </c>
      <c r="B30" s="1" t="s">
        <v>91</v>
      </c>
      <c r="C30" s="1" t="s">
        <v>193</v>
      </c>
      <c r="D30" s="1" t="s">
        <v>194</v>
      </c>
      <c r="E30" s="1" t="s">
        <v>261</v>
      </c>
      <c r="F30" s="1" t="s">
        <v>262</v>
      </c>
      <c r="G30" s="9">
        <v>1.5</v>
      </c>
      <c r="H30" s="10"/>
      <c r="I30" s="9">
        <v>0</v>
      </c>
      <c r="J30" s="1" t="s">
        <v>78</v>
      </c>
      <c r="K30" s="1"/>
      <c r="L30" s="1"/>
    </row>
    <row r="31" spans="1:12" ht="66" customHeight="1" x14ac:dyDescent="0.35">
      <c r="A31" s="7">
        <v>5</v>
      </c>
      <c r="B31" s="1" t="s">
        <v>91</v>
      </c>
      <c r="C31" s="1" t="s">
        <v>197</v>
      </c>
      <c r="D31" s="1" t="s">
        <v>198</v>
      </c>
      <c r="E31" s="1" t="s">
        <v>263</v>
      </c>
      <c r="F31" s="1" t="s">
        <v>264</v>
      </c>
      <c r="G31" s="9">
        <v>1.5</v>
      </c>
      <c r="H31" s="10"/>
      <c r="I31" s="9">
        <v>0</v>
      </c>
      <c r="J31" s="1" t="s">
        <v>78</v>
      </c>
      <c r="K31" s="1"/>
      <c r="L31" s="1"/>
    </row>
    <row r="32" spans="1:12" ht="66" customHeight="1" x14ac:dyDescent="0.35">
      <c r="A32" s="7">
        <v>5</v>
      </c>
      <c r="B32" s="1" t="s">
        <v>91</v>
      </c>
      <c r="C32" s="1" t="s">
        <v>201</v>
      </c>
      <c r="D32" s="1" t="s">
        <v>202</v>
      </c>
      <c r="E32" s="1" t="s">
        <v>265</v>
      </c>
      <c r="F32" s="1" t="s">
        <v>266</v>
      </c>
      <c r="G32" s="9">
        <v>1.5</v>
      </c>
      <c r="H32" s="10"/>
      <c r="I32" s="9">
        <v>0</v>
      </c>
      <c r="J32" s="1" t="s">
        <v>78</v>
      </c>
      <c r="K32" s="1"/>
      <c r="L32" s="1"/>
    </row>
    <row r="33" spans="1:12" ht="66" customHeight="1" x14ac:dyDescent="0.35">
      <c r="A33" s="7">
        <v>5</v>
      </c>
      <c r="B33" s="1" t="s">
        <v>91</v>
      </c>
      <c r="C33" s="1" t="s">
        <v>205</v>
      </c>
      <c r="D33" s="1" t="s">
        <v>206</v>
      </c>
      <c r="E33" s="1" t="s">
        <v>267</v>
      </c>
      <c r="F33" s="1" t="s">
        <v>268</v>
      </c>
      <c r="G33" s="9">
        <v>1.5</v>
      </c>
      <c r="H33" s="10"/>
      <c r="I33" s="9">
        <v>0</v>
      </c>
      <c r="J33" s="1" t="s">
        <v>78</v>
      </c>
      <c r="K33" s="1"/>
      <c r="L33" s="1"/>
    </row>
    <row r="34" spans="1:12" ht="66" customHeight="1" x14ac:dyDescent="0.35">
      <c r="A34" s="7">
        <v>5</v>
      </c>
      <c r="B34" s="1" t="s">
        <v>91</v>
      </c>
      <c r="C34" s="1" t="s">
        <v>209</v>
      </c>
      <c r="D34" s="1" t="s">
        <v>210</v>
      </c>
      <c r="E34" s="1" t="s">
        <v>269</v>
      </c>
      <c r="F34" s="1" t="s">
        <v>270</v>
      </c>
      <c r="G34" s="9">
        <v>1.5</v>
      </c>
      <c r="H34" s="10"/>
      <c r="I34" s="9">
        <v>0</v>
      </c>
      <c r="J34" s="1" t="s">
        <v>78</v>
      </c>
      <c r="K34" s="1"/>
      <c r="L34" s="1"/>
    </row>
    <row r="35" spans="1:12" ht="66" customHeight="1" x14ac:dyDescent="0.35">
      <c r="A35" s="7">
        <v>5</v>
      </c>
      <c r="B35" s="1" t="s">
        <v>91</v>
      </c>
      <c r="C35" s="1" t="s">
        <v>17</v>
      </c>
      <c r="D35" s="1" t="s">
        <v>213</v>
      </c>
      <c r="E35" s="1" t="s">
        <v>271</v>
      </c>
      <c r="F35" s="1" t="s">
        <v>272</v>
      </c>
      <c r="G35" s="9">
        <v>1.5</v>
      </c>
      <c r="H35" s="10"/>
      <c r="I35" s="9">
        <v>0</v>
      </c>
      <c r="J35" s="1" t="s">
        <v>78</v>
      </c>
      <c r="K35" s="1"/>
      <c r="L35" s="1"/>
    </row>
    <row r="36" spans="1:12" ht="66" customHeight="1" x14ac:dyDescent="0.35">
      <c r="A36" s="7">
        <v>5</v>
      </c>
      <c r="B36" s="1" t="s">
        <v>91</v>
      </c>
      <c r="C36" s="1" t="s">
        <v>20</v>
      </c>
      <c r="D36" s="1" t="s">
        <v>216</v>
      </c>
      <c r="E36" s="1" t="s">
        <v>273</v>
      </c>
      <c r="F36" s="1" t="s">
        <v>274</v>
      </c>
      <c r="G36" s="9">
        <v>1</v>
      </c>
      <c r="H36" s="10"/>
      <c r="I36" s="9">
        <v>0</v>
      </c>
      <c r="J36" s="1" t="s">
        <v>78</v>
      </c>
      <c r="K36" s="1"/>
      <c r="L36" s="1"/>
    </row>
    <row r="37" spans="1:12" ht="66" customHeight="1" x14ac:dyDescent="0.35">
      <c r="A37" s="7">
        <v>6</v>
      </c>
      <c r="B37" s="1" t="s">
        <v>91</v>
      </c>
      <c r="C37" s="1" t="s">
        <v>193</v>
      </c>
      <c r="D37" s="1" t="s">
        <v>194</v>
      </c>
      <c r="E37" s="1" t="s">
        <v>275</v>
      </c>
      <c r="F37" s="1" t="s">
        <v>276</v>
      </c>
      <c r="G37" s="9">
        <v>1.5</v>
      </c>
      <c r="H37" s="10"/>
      <c r="I37" s="9">
        <v>0</v>
      </c>
      <c r="J37" s="1" t="s">
        <v>78</v>
      </c>
      <c r="K37" s="1"/>
      <c r="L37" s="1"/>
    </row>
    <row r="38" spans="1:12" ht="66" customHeight="1" x14ac:dyDescent="0.35">
      <c r="A38" s="7">
        <v>6</v>
      </c>
      <c r="B38" s="1" t="s">
        <v>91</v>
      </c>
      <c r="C38" s="1" t="s">
        <v>197</v>
      </c>
      <c r="D38" s="1" t="s">
        <v>198</v>
      </c>
      <c r="E38" s="1" t="s">
        <v>277</v>
      </c>
      <c r="F38" s="1" t="s">
        <v>278</v>
      </c>
      <c r="G38" s="9">
        <v>1.5</v>
      </c>
      <c r="H38" s="10"/>
      <c r="I38" s="9">
        <v>0</v>
      </c>
      <c r="J38" s="1" t="s">
        <v>78</v>
      </c>
      <c r="K38" s="1"/>
      <c r="L38" s="1"/>
    </row>
    <row r="39" spans="1:12" ht="66" customHeight="1" x14ac:dyDescent="0.35">
      <c r="A39" s="7">
        <v>6</v>
      </c>
      <c r="B39" s="1" t="s">
        <v>91</v>
      </c>
      <c r="C39" s="1" t="s">
        <v>201</v>
      </c>
      <c r="D39" s="1" t="s">
        <v>202</v>
      </c>
      <c r="E39" s="1" t="s">
        <v>279</v>
      </c>
      <c r="F39" s="1" t="s">
        <v>280</v>
      </c>
      <c r="G39" s="9">
        <v>1.5</v>
      </c>
      <c r="H39" s="10"/>
      <c r="I39" s="9">
        <v>0</v>
      </c>
      <c r="J39" s="1" t="s">
        <v>78</v>
      </c>
      <c r="K39" s="1"/>
      <c r="L39" s="1"/>
    </row>
    <row r="40" spans="1:12" ht="66" customHeight="1" x14ac:dyDescent="0.35">
      <c r="A40" s="7">
        <v>6</v>
      </c>
      <c r="B40" s="1" t="s">
        <v>91</v>
      </c>
      <c r="C40" s="1" t="s">
        <v>205</v>
      </c>
      <c r="D40" s="1" t="s">
        <v>206</v>
      </c>
      <c r="E40" s="1" t="s">
        <v>281</v>
      </c>
      <c r="F40" s="1" t="s">
        <v>282</v>
      </c>
      <c r="G40" s="9">
        <v>1.5</v>
      </c>
      <c r="H40" s="10"/>
      <c r="I40" s="9">
        <v>0</v>
      </c>
      <c r="J40" s="1" t="s">
        <v>78</v>
      </c>
      <c r="K40" s="1"/>
      <c r="L40" s="1"/>
    </row>
    <row r="41" spans="1:12" ht="66" customHeight="1" x14ac:dyDescent="0.35">
      <c r="A41" s="7">
        <v>6</v>
      </c>
      <c r="B41" s="1" t="s">
        <v>91</v>
      </c>
      <c r="C41" s="1" t="s">
        <v>209</v>
      </c>
      <c r="D41" s="1" t="s">
        <v>210</v>
      </c>
      <c r="E41" s="1" t="s">
        <v>283</v>
      </c>
      <c r="F41" s="1" t="s">
        <v>284</v>
      </c>
      <c r="G41" s="9">
        <v>1.5</v>
      </c>
      <c r="H41" s="10"/>
      <c r="I41" s="9">
        <v>0</v>
      </c>
      <c r="J41" s="1" t="s">
        <v>78</v>
      </c>
      <c r="K41" s="1"/>
      <c r="L41" s="1"/>
    </row>
    <row r="42" spans="1:12" ht="66" customHeight="1" x14ac:dyDescent="0.35">
      <c r="A42" s="7">
        <v>6</v>
      </c>
      <c r="B42" s="1" t="s">
        <v>91</v>
      </c>
      <c r="C42" s="1" t="s">
        <v>17</v>
      </c>
      <c r="D42" s="1" t="s">
        <v>213</v>
      </c>
      <c r="E42" s="1" t="s">
        <v>285</v>
      </c>
      <c r="F42" s="1" t="s">
        <v>286</v>
      </c>
      <c r="G42" s="9">
        <v>1.5</v>
      </c>
      <c r="H42" s="10"/>
      <c r="I42" s="9">
        <v>0</v>
      </c>
      <c r="J42" s="1" t="s">
        <v>78</v>
      </c>
      <c r="K42" s="1"/>
      <c r="L42" s="1"/>
    </row>
    <row r="43" spans="1:12" ht="66" customHeight="1" x14ac:dyDescent="0.35">
      <c r="A43" s="7">
        <v>6</v>
      </c>
      <c r="B43" s="1" t="s">
        <v>91</v>
      </c>
      <c r="C43" s="1" t="s">
        <v>20</v>
      </c>
      <c r="D43" s="1" t="s">
        <v>216</v>
      </c>
      <c r="E43" s="1" t="s">
        <v>287</v>
      </c>
      <c r="F43" s="1" t="s">
        <v>288</v>
      </c>
      <c r="G43" s="9">
        <v>1</v>
      </c>
      <c r="H43" s="10"/>
      <c r="I43" s="9">
        <v>0</v>
      </c>
      <c r="J43" s="1" t="s">
        <v>78</v>
      </c>
      <c r="K43" s="1"/>
      <c r="L43" s="1"/>
    </row>
    <row r="44" spans="1:12" ht="66" customHeight="1" x14ac:dyDescent="0.35">
      <c r="A44" s="7">
        <v>7</v>
      </c>
      <c r="B44" s="1" t="s">
        <v>91</v>
      </c>
      <c r="C44" s="1" t="s">
        <v>193</v>
      </c>
      <c r="D44" s="1" t="s">
        <v>194</v>
      </c>
      <c r="E44" s="1" t="s">
        <v>289</v>
      </c>
      <c r="F44" s="1" t="s">
        <v>290</v>
      </c>
      <c r="G44" s="9">
        <v>1.5</v>
      </c>
      <c r="H44" s="10"/>
      <c r="I44" s="9">
        <v>0</v>
      </c>
      <c r="J44" s="1" t="s">
        <v>78</v>
      </c>
      <c r="K44" s="1"/>
      <c r="L44" s="1"/>
    </row>
    <row r="45" spans="1:12" ht="66" customHeight="1" x14ac:dyDescent="0.35">
      <c r="A45" s="7">
        <v>7</v>
      </c>
      <c r="B45" s="1" t="s">
        <v>91</v>
      </c>
      <c r="C45" s="1" t="s">
        <v>197</v>
      </c>
      <c r="D45" s="1" t="s">
        <v>198</v>
      </c>
      <c r="E45" s="1" t="s">
        <v>291</v>
      </c>
      <c r="F45" s="1" t="s">
        <v>292</v>
      </c>
      <c r="G45" s="9">
        <v>1.5</v>
      </c>
      <c r="H45" s="10"/>
      <c r="I45" s="9">
        <v>0</v>
      </c>
      <c r="J45" s="1" t="s">
        <v>78</v>
      </c>
      <c r="K45" s="1"/>
      <c r="L45" s="1"/>
    </row>
    <row r="46" spans="1:12" ht="66" customHeight="1" x14ac:dyDescent="0.35">
      <c r="A46" s="7">
        <v>7</v>
      </c>
      <c r="B46" s="1" t="s">
        <v>91</v>
      </c>
      <c r="C46" s="1" t="s">
        <v>201</v>
      </c>
      <c r="D46" s="1" t="s">
        <v>202</v>
      </c>
      <c r="E46" s="1" t="s">
        <v>293</v>
      </c>
      <c r="F46" s="1" t="s">
        <v>294</v>
      </c>
      <c r="G46" s="9">
        <v>1.5</v>
      </c>
      <c r="H46" s="10"/>
      <c r="I46" s="9">
        <v>0</v>
      </c>
      <c r="J46" s="1" t="s">
        <v>78</v>
      </c>
      <c r="K46" s="1"/>
      <c r="L46" s="1"/>
    </row>
    <row r="47" spans="1:12" ht="66" customHeight="1" x14ac:dyDescent="0.35">
      <c r="A47" s="7">
        <v>7</v>
      </c>
      <c r="B47" s="1" t="s">
        <v>91</v>
      </c>
      <c r="C47" s="1" t="s">
        <v>205</v>
      </c>
      <c r="D47" s="1" t="s">
        <v>206</v>
      </c>
      <c r="E47" s="1" t="s">
        <v>295</v>
      </c>
      <c r="F47" s="1" t="s">
        <v>296</v>
      </c>
      <c r="G47" s="9">
        <v>1.5</v>
      </c>
      <c r="H47" s="10"/>
      <c r="I47" s="9">
        <v>0</v>
      </c>
      <c r="J47" s="1" t="s">
        <v>78</v>
      </c>
      <c r="K47" s="1"/>
      <c r="L47" s="1"/>
    </row>
    <row r="48" spans="1:12" ht="66" customHeight="1" x14ac:dyDescent="0.35">
      <c r="A48" s="7">
        <v>7</v>
      </c>
      <c r="B48" s="1" t="s">
        <v>91</v>
      </c>
      <c r="C48" s="1" t="s">
        <v>209</v>
      </c>
      <c r="D48" s="1" t="s">
        <v>210</v>
      </c>
      <c r="E48" s="1" t="s">
        <v>297</v>
      </c>
      <c r="F48" s="1" t="s">
        <v>298</v>
      </c>
      <c r="G48" s="9">
        <v>1.5</v>
      </c>
      <c r="H48" s="10"/>
      <c r="I48" s="9">
        <v>0</v>
      </c>
      <c r="J48" s="1" t="s">
        <v>78</v>
      </c>
      <c r="K48" s="1"/>
      <c r="L48" s="1"/>
    </row>
    <row r="49" spans="1:12" ht="66" customHeight="1" x14ac:dyDescent="0.35">
      <c r="A49" s="7">
        <v>7</v>
      </c>
      <c r="B49" s="1" t="s">
        <v>91</v>
      </c>
      <c r="C49" s="1" t="s">
        <v>17</v>
      </c>
      <c r="D49" s="1" t="s">
        <v>213</v>
      </c>
      <c r="E49" s="1" t="s">
        <v>299</v>
      </c>
      <c r="F49" s="1" t="s">
        <v>300</v>
      </c>
      <c r="G49" s="9">
        <v>1.5</v>
      </c>
      <c r="H49" s="10"/>
      <c r="I49" s="9">
        <v>0</v>
      </c>
      <c r="J49" s="1" t="s">
        <v>78</v>
      </c>
      <c r="K49" s="1"/>
      <c r="L49" s="1"/>
    </row>
    <row r="50" spans="1:12" ht="66" customHeight="1" x14ac:dyDescent="0.35">
      <c r="A50" s="7">
        <v>7</v>
      </c>
      <c r="B50" s="1" t="s">
        <v>91</v>
      </c>
      <c r="C50" s="1" t="s">
        <v>20</v>
      </c>
      <c r="D50" s="1" t="s">
        <v>216</v>
      </c>
      <c r="E50" s="1" t="s">
        <v>301</v>
      </c>
      <c r="F50" s="1" t="s">
        <v>302</v>
      </c>
      <c r="G50" s="9">
        <v>1</v>
      </c>
      <c r="H50" s="10"/>
      <c r="I50" s="9">
        <v>0</v>
      </c>
      <c r="J50" s="1" t="s">
        <v>78</v>
      </c>
      <c r="K50" s="1"/>
      <c r="L50" s="1"/>
    </row>
    <row r="51" spans="1:12" ht="66" customHeight="1" x14ac:dyDescent="0.35">
      <c r="A51" s="7">
        <v>8</v>
      </c>
      <c r="B51" s="1" t="s">
        <v>91</v>
      </c>
      <c r="C51" s="1" t="s">
        <v>193</v>
      </c>
      <c r="D51" s="1" t="s">
        <v>194</v>
      </c>
      <c r="E51" s="1" t="s">
        <v>303</v>
      </c>
      <c r="F51" s="1" t="s">
        <v>304</v>
      </c>
      <c r="G51" s="9">
        <v>1.5</v>
      </c>
      <c r="H51" s="10"/>
      <c r="I51" s="9">
        <v>0</v>
      </c>
      <c r="J51" s="1" t="s">
        <v>78</v>
      </c>
      <c r="K51" s="1"/>
      <c r="L51" s="1"/>
    </row>
    <row r="52" spans="1:12" ht="66" customHeight="1" x14ac:dyDescent="0.35">
      <c r="A52" s="7">
        <v>8</v>
      </c>
      <c r="B52" s="1" t="s">
        <v>91</v>
      </c>
      <c r="C52" s="1" t="s">
        <v>197</v>
      </c>
      <c r="D52" s="1" t="s">
        <v>198</v>
      </c>
      <c r="E52" s="1" t="s">
        <v>305</v>
      </c>
      <c r="F52" s="1" t="s">
        <v>306</v>
      </c>
      <c r="G52" s="9">
        <v>1.5</v>
      </c>
      <c r="H52" s="10"/>
      <c r="I52" s="9">
        <v>0</v>
      </c>
      <c r="J52" s="1" t="s">
        <v>78</v>
      </c>
      <c r="K52" s="1"/>
      <c r="L52" s="1"/>
    </row>
    <row r="53" spans="1:12" ht="66" customHeight="1" x14ac:dyDescent="0.35">
      <c r="A53" s="7">
        <v>8</v>
      </c>
      <c r="B53" s="1" t="s">
        <v>91</v>
      </c>
      <c r="C53" s="1" t="s">
        <v>201</v>
      </c>
      <c r="D53" s="1" t="s">
        <v>202</v>
      </c>
      <c r="E53" s="1" t="s">
        <v>307</v>
      </c>
      <c r="F53" s="1" t="s">
        <v>308</v>
      </c>
      <c r="G53" s="9">
        <v>1.5</v>
      </c>
      <c r="H53" s="10"/>
      <c r="I53" s="9">
        <v>0</v>
      </c>
      <c r="J53" s="1" t="s">
        <v>78</v>
      </c>
      <c r="K53" s="1"/>
      <c r="L53" s="1"/>
    </row>
    <row r="54" spans="1:12" ht="66" customHeight="1" x14ac:dyDescent="0.35">
      <c r="A54" s="7">
        <v>8</v>
      </c>
      <c r="B54" s="1" t="s">
        <v>91</v>
      </c>
      <c r="C54" s="1" t="s">
        <v>205</v>
      </c>
      <c r="D54" s="1" t="s">
        <v>206</v>
      </c>
      <c r="E54" s="1" t="s">
        <v>309</v>
      </c>
      <c r="F54" s="1" t="s">
        <v>310</v>
      </c>
      <c r="G54" s="9">
        <v>1.5</v>
      </c>
      <c r="H54" s="10"/>
      <c r="I54" s="9">
        <v>0</v>
      </c>
      <c r="J54" s="1" t="s">
        <v>78</v>
      </c>
      <c r="K54" s="1"/>
      <c r="L54" s="1"/>
    </row>
    <row r="55" spans="1:12" ht="66" customHeight="1" x14ac:dyDescent="0.35">
      <c r="A55" s="7">
        <v>8</v>
      </c>
      <c r="B55" s="1" t="s">
        <v>91</v>
      </c>
      <c r="C55" s="1" t="s">
        <v>209</v>
      </c>
      <c r="D55" s="1" t="s">
        <v>210</v>
      </c>
      <c r="E55" s="1" t="s">
        <v>311</v>
      </c>
      <c r="F55" s="1" t="s">
        <v>312</v>
      </c>
      <c r="G55" s="9">
        <v>1.5</v>
      </c>
      <c r="H55" s="10"/>
      <c r="I55" s="9">
        <v>0</v>
      </c>
      <c r="J55" s="1" t="s">
        <v>78</v>
      </c>
      <c r="K55" s="1"/>
      <c r="L55" s="1"/>
    </row>
    <row r="56" spans="1:12" ht="66" customHeight="1" x14ac:dyDescent="0.35">
      <c r="A56" s="7">
        <v>8</v>
      </c>
      <c r="B56" s="1" t="s">
        <v>91</v>
      </c>
      <c r="C56" s="1" t="s">
        <v>17</v>
      </c>
      <c r="D56" s="1" t="s">
        <v>213</v>
      </c>
      <c r="E56" s="1" t="s">
        <v>313</v>
      </c>
      <c r="F56" s="1" t="s">
        <v>314</v>
      </c>
      <c r="G56" s="9">
        <v>1.5</v>
      </c>
      <c r="H56" s="10"/>
      <c r="I56" s="9">
        <v>0</v>
      </c>
      <c r="J56" s="1" t="s">
        <v>78</v>
      </c>
      <c r="K56" s="1"/>
      <c r="L56" s="1"/>
    </row>
    <row r="57" spans="1:12" ht="66" customHeight="1" x14ac:dyDescent="0.35">
      <c r="A57" s="7">
        <v>8</v>
      </c>
      <c r="B57" s="1" t="s">
        <v>91</v>
      </c>
      <c r="C57" s="1" t="s">
        <v>20</v>
      </c>
      <c r="D57" s="1" t="s">
        <v>216</v>
      </c>
      <c r="E57" s="1" t="s">
        <v>315</v>
      </c>
      <c r="F57" s="1" t="s">
        <v>316</v>
      </c>
      <c r="G57" s="9">
        <v>1</v>
      </c>
      <c r="H57" s="10"/>
      <c r="I57" s="9">
        <v>0</v>
      </c>
      <c r="J57" s="1" t="s">
        <v>78</v>
      </c>
      <c r="K57" s="1"/>
      <c r="L57" s="1"/>
    </row>
    <row r="58" spans="1:12" ht="66" customHeight="1" x14ac:dyDescent="0.35">
      <c r="A58" s="7">
        <v>9</v>
      </c>
      <c r="B58" s="1" t="s">
        <v>108</v>
      </c>
      <c r="C58" s="1" t="s">
        <v>193</v>
      </c>
      <c r="D58" s="1" t="s">
        <v>194</v>
      </c>
      <c r="E58" s="1" t="s">
        <v>317</v>
      </c>
      <c r="F58" s="1" t="s">
        <v>318</v>
      </c>
      <c r="G58" s="9">
        <v>1.5</v>
      </c>
      <c r="H58" s="10"/>
      <c r="I58" s="9">
        <v>0</v>
      </c>
      <c r="J58" s="1" t="s">
        <v>78</v>
      </c>
      <c r="K58" s="1"/>
      <c r="L58" s="1"/>
    </row>
    <row r="59" spans="1:12" ht="66" customHeight="1" x14ac:dyDescent="0.35">
      <c r="A59" s="7">
        <v>9</v>
      </c>
      <c r="B59" s="1" t="s">
        <v>108</v>
      </c>
      <c r="C59" s="1" t="s">
        <v>197</v>
      </c>
      <c r="D59" s="1" t="s">
        <v>198</v>
      </c>
      <c r="E59" s="1" t="s">
        <v>319</v>
      </c>
      <c r="F59" s="1" t="s">
        <v>320</v>
      </c>
      <c r="G59" s="9">
        <v>1.5</v>
      </c>
      <c r="H59" s="10"/>
      <c r="I59" s="9">
        <v>0</v>
      </c>
      <c r="J59" s="1" t="s">
        <v>78</v>
      </c>
      <c r="K59" s="1"/>
      <c r="L59" s="1"/>
    </row>
    <row r="60" spans="1:12" ht="66" customHeight="1" x14ac:dyDescent="0.35">
      <c r="A60" s="7">
        <v>9</v>
      </c>
      <c r="B60" s="1" t="s">
        <v>108</v>
      </c>
      <c r="C60" s="1" t="s">
        <v>201</v>
      </c>
      <c r="D60" s="1" t="s">
        <v>202</v>
      </c>
      <c r="E60" s="1" t="s">
        <v>321</v>
      </c>
      <c r="F60" s="1" t="s">
        <v>322</v>
      </c>
      <c r="G60" s="9">
        <v>1.5</v>
      </c>
      <c r="H60" s="10"/>
      <c r="I60" s="9">
        <v>0</v>
      </c>
      <c r="J60" s="1" t="s">
        <v>78</v>
      </c>
      <c r="K60" s="1"/>
      <c r="L60" s="1"/>
    </row>
    <row r="61" spans="1:12" ht="66" customHeight="1" x14ac:dyDescent="0.35">
      <c r="A61" s="7">
        <v>9</v>
      </c>
      <c r="B61" s="1" t="s">
        <v>108</v>
      </c>
      <c r="C61" s="1" t="s">
        <v>205</v>
      </c>
      <c r="D61" s="1" t="s">
        <v>206</v>
      </c>
      <c r="E61" s="1" t="s">
        <v>323</v>
      </c>
      <c r="F61" s="1" t="s">
        <v>324</v>
      </c>
      <c r="G61" s="9">
        <v>1.5</v>
      </c>
      <c r="H61" s="10"/>
      <c r="I61" s="9">
        <v>0</v>
      </c>
      <c r="J61" s="1" t="s">
        <v>78</v>
      </c>
      <c r="K61" s="1"/>
      <c r="L61" s="1"/>
    </row>
    <row r="62" spans="1:12" ht="66" customHeight="1" x14ac:dyDescent="0.35">
      <c r="A62" s="7">
        <v>9</v>
      </c>
      <c r="B62" s="1" t="s">
        <v>108</v>
      </c>
      <c r="C62" s="1" t="s">
        <v>209</v>
      </c>
      <c r="D62" s="1" t="s">
        <v>210</v>
      </c>
      <c r="E62" s="1" t="s">
        <v>325</v>
      </c>
      <c r="F62" s="1" t="s">
        <v>326</v>
      </c>
      <c r="G62" s="9">
        <v>1.5</v>
      </c>
      <c r="H62" s="10"/>
      <c r="I62" s="9">
        <v>0</v>
      </c>
      <c r="J62" s="1" t="s">
        <v>78</v>
      </c>
      <c r="K62" s="1"/>
      <c r="L62" s="1"/>
    </row>
    <row r="63" spans="1:12" ht="66" customHeight="1" x14ac:dyDescent="0.35">
      <c r="A63" s="7">
        <v>9</v>
      </c>
      <c r="B63" s="1" t="s">
        <v>108</v>
      </c>
      <c r="C63" s="1" t="s">
        <v>17</v>
      </c>
      <c r="D63" s="1" t="s">
        <v>213</v>
      </c>
      <c r="E63" s="1" t="s">
        <v>327</v>
      </c>
      <c r="F63" s="1" t="s">
        <v>328</v>
      </c>
      <c r="G63" s="9">
        <v>1.5</v>
      </c>
      <c r="H63" s="10"/>
      <c r="I63" s="9">
        <v>0</v>
      </c>
      <c r="J63" s="1" t="s">
        <v>78</v>
      </c>
      <c r="K63" s="1"/>
      <c r="L63" s="1"/>
    </row>
    <row r="64" spans="1:12" ht="66" customHeight="1" x14ac:dyDescent="0.35">
      <c r="A64" s="7">
        <v>9</v>
      </c>
      <c r="B64" s="1" t="s">
        <v>108</v>
      </c>
      <c r="C64" s="1" t="s">
        <v>20</v>
      </c>
      <c r="D64" s="1" t="s">
        <v>216</v>
      </c>
      <c r="E64" s="1" t="s">
        <v>329</v>
      </c>
      <c r="F64" s="1" t="s">
        <v>330</v>
      </c>
      <c r="G64" s="9">
        <v>1</v>
      </c>
      <c r="H64" s="10"/>
      <c r="I64" s="9">
        <v>0</v>
      </c>
      <c r="J64" s="1" t="s">
        <v>78</v>
      </c>
      <c r="K64" s="1"/>
      <c r="L64" s="1"/>
    </row>
    <row r="65" spans="1:12" ht="66" customHeight="1" x14ac:dyDescent="0.35">
      <c r="A65" s="7">
        <v>10</v>
      </c>
      <c r="B65" s="1" t="s">
        <v>108</v>
      </c>
      <c r="C65" s="1" t="s">
        <v>193</v>
      </c>
      <c r="D65" s="1" t="s">
        <v>194</v>
      </c>
      <c r="E65" s="1" t="s">
        <v>331</v>
      </c>
      <c r="F65" s="1" t="s">
        <v>332</v>
      </c>
      <c r="G65" s="9">
        <v>1.5</v>
      </c>
      <c r="H65" s="10"/>
      <c r="I65" s="9">
        <v>0</v>
      </c>
      <c r="J65" s="1" t="s">
        <v>78</v>
      </c>
      <c r="K65" s="1"/>
      <c r="L65" s="1"/>
    </row>
    <row r="66" spans="1:12" ht="66" customHeight="1" x14ac:dyDescent="0.35">
      <c r="A66" s="7">
        <v>10</v>
      </c>
      <c r="B66" s="1" t="s">
        <v>108</v>
      </c>
      <c r="C66" s="1" t="s">
        <v>197</v>
      </c>
      <c r="D66" s="1" t="s">
        <v>198</v>
      </c>
      <c r="E66" s="1" t="s">
        <v>333</v>
      </c>
      <c r="F66" s="1" t="s">
        <v>334</v>
      </c>
      <c r="G66" s="9">
        <v>1.5</v>
      </c>
      <c r="H66" s="10"/>
      <c r="I66" s="9">
        <v>0</v>
      </c>
      <c r="J66" s="1" t="s">
        <v>78</v>
      </c>
      <c r="K66" s="1"/>
      <c r="L66" s="1"/>
    </row>
    <row r="67" spans="1:12" ht="66" customHeight="1" x14ac:dyDescent="0.35">
      <c r="A67" s="7">
        <v>10</v>
      </c>
      <c r="B67" s="1" t="s">
        <v>108</v>
      </c>
      <c r="C67" s="1" t="s">
        <v>201</v>
      </c>
      <c r="D67" s="1" t="s">
        <v>202</v>
      </c>
      <c r="E67" s="1" t="s">
        <v>335</v>
      </c>
      <c r="F67" s="1" t="s">
        <v>336</v>
      </c>
      <c r="G67" s="9">
        <v>1.5</v>
      </c>
      <c r="H67" s="10"/>
      <c r="I67" s="9">
        <v>0</v>
      </c>
      <c r="J67" s="1" t="s">
        <v>78</v>
      </c>
      <c r="K67" s="1"/>
      <c r="L67" s="1"/>
    </row>
    <row r="68" spans="1:12" ht="66" customHeight="1" x14ac:dyDescent="0.35">
      <c r="A68" s="7">
        <v>10</v>
      </c>
      <c r="B68" s="1" t="s">
        <v>108</v>
      </c>
      <c r="C68" s="1" t="s">
        <v>205</v>
      </c>
      <c r="D68" s="1" t="s">
        <v>206</v>
      </c>
      <c r="E68" s="1" t="s">
        <v>337</v>
      </c>
      <c r="F68" s="1" t="s">
        <v>338</v>
      </c>
      <c r="G68" s="9">
        <v>1.5</v>
      </c>
      <c r="H68" s="10"/>
      <c r="I68" s="9">
        <v>0</v>
      </c>
      <c r="J68" s="1" t="s">
        <v>78</v>
      </c>
      <c r="K68" s="1"/>
      <c r="L68" s="1"/>
    </row>
    <row r="69" spans="1:12" ht="66" customHeight="1" x14ac:dyDescent="0.35">
      <c r="A69" s="7">
        <v>10</v>
      </c>
      <c r="B69" s="1" t="s">
        <v>108</v>
      </c>
      <c r="C69" s="1" t="s">
        <v>209</v>
      </c>
      <c r="D69" s="1" t="s">
        <v>210</v>
      </c>
      <c r="E69" s="1" t="s">
        <v>339</v>
      </c>
      <c r="F69" s="1" t="s">
        <v>340</v>
      </c>
      <c r="G69" s="9">
        <v>1.5</v>
      </c>
      <c r="H69" s="10"/>
      <c r="I69" s="9">
        <v>0</v>
      </c>
      <c r="J69" s="1" t="s">
        <v>78</v>
      </c>
      <c r="K69" s="1"/>
      <c r="L69" s="1"/>
    </row>
    <row r="70" spans="1:12" ht="66" customHeight="1" x14ac:dyDescent="0.35">
      <c r="A70" s="7">
        <v>10</v>
      </c>
      <c r="B70" s="1" t="s">
        <v>108</v>
      </c>
      <c r="C70" s="1" t="s">
        <v>17</v>
      </c>
      <c r="D70" s="1" t="s">
        <v>213</v>
      </c>
      <c r="E70" s="1" t="s">
        <v>341</v>
      </c>
      <c r="F70" s="1" t="s">
        <v>342</v>
      </c>
      <c r="G70" s="9">
        <v>1.5</v>
      </c>
      <c r="H70" s="10"/>
      <c r="I70" s="9">
        <v>0</v>
      </c>
      <c r="J70" s="1" t="s">
        <v>78</v>
      </c>
      <c r="K70" s="1"/>
      <c r="L70" s="1"/>
    </row>
    <row r="71" spans="1:12" ht="66" customHeight="1" x14ac:dyDescent="0.35">
      <c r="A71" s="7">
        <v>10</v>
      </c>
      <c r="B71" s="1" t="s">
        <v>108</v>
      </c>
      <c r="C71" s="1" t="s">
        <v>20</v>
      </c>
      <c r="D71" s="1" t="s">
        <v>216</v>
      </c>
      <c r="E71" s="1" t="s">
        <v>343</v>
      </c>
      <c r="F71" s="1" t="s">
        <v>344</v>
      </c>
      <c r="G71" s="9">
        <v>1</v>
      </c>
      <c r="H71" s="10"/>
      <c r="I71" s="9">
        <v>0</v>
      </c>
      <c r="J71" s="1" t="s">
        <v>78</v>
      </c>
      <c r="K71" s="1"/>
      <c r="L71" s="1"/>
    </row>
    <row r="72" spans="1:12" ht="66" customHeight="1" x14ac:dyDescent="0.35">
      <c r="A72" s="7">
        <v>11</v>
      </c>
      <c r="B72" s="1" t="s">
        <v>108</v>
      </c>
      <c r="C72" s="1" t="s">
        <v>193</v>
      </c>
      <c r="D72" s="1" t="s">
        <v>194</v>
      </c>
      <c r="E72" s="1" t="s">
        <v>345</v>
      </c>
      <c r="F72" s="1" t="s">
        <v>346</v>
      </c>
      <c r="G72" s="9">
        <v>1.5</v>
      </c>
      <c r="H72" s="10"/>
      <c r="I72" s="9">
        <v>0</v>
      </c>
      <c r="J72" s="1" t="s">
        <v>78</v>
      </c>
      <c r="K72" s="1"/>
      <c r="L72" s="1"/>
    </row>
    <row r="73" spans="1:12" ht="66" customHeight="1" x14ac:dyDescent="0.35">
      <c r="A73" s="7">
        <v>11</v>
      </c>
      <c r="B73" s="1" t="s">
        <v>108</v>
      </c>
      <c r="C73" s="1" t="s">
        <v>197</v>
      </c>
      <c r="D73" s="1" t="s">
        <v>198</v>
      </c>
      <c r="E73" s="1" t="s">
        <v>347</v>
      </c>
      <c r="F73" s="1" t="s">
        <v>348</v>
      </c>
      <c r="G73" s="9">
        <v>1.5</v>
      </c>
      <c r="H73" s="10"/>
      <c r="I73" s="9">
        <v>0</v>
      </c>
      <c r="J73" s="1" t="s">
        <v>78</v>
      </c>
      <c r="K73" s="1"/>
      <c r="L73" s="1"/>
    </row>
    <row r="74" spans="1:12" ht="66" customHeight="1" x14ac:dyDescent="0.35">
      <c r="A74" s="7">
        <v>11</v>
      </c>
      <c r="B74" s="1" t="s">
        <v>108</v>
      </c>
      <c r="C74" s="1" t="s">
        <v>201</v>
      </c>
      <c r="D74" s="1" t="s">
        <v>202</v>
      </c>
      <c r="E74" s="1" t="s">
        <v>349</v>
      </c>
      <c r="F74" s="1" t="s">
        <v>350</v>
      </c>
      <c r="G74" s="9">
        <v>1.5</v>
      </c>
      <c r="H74" s="10"/>
      <c r="I74" s="9">
        <v>0</v>
      </c>
      <c r="J74" s="1" t="s">
        <v>78</v>
      </c>
      <c r="K74" s="1"/>
      <c r="L74" s="1"/>
    </row>
    <row r="75" spans="1:12" ht="66" customHeight="1" x14ac:dyDescent="0.35">
      <c r="A75" s="7">
        <v>11</v>
      </c>
      <c r="B75" s="1" t="s">
        <v>108</v>
      </c>
      <c r="C75" s="1" t="s">
        <v>205</v>
      </c>
      <c r="D75" s="1" t="s">
        <v>206</v>
      </c>
      <c r="E75" s="1" t="s">
        <v>351</v>
      </c>
      <c r="F75" s="1" t="s">
        <v>352</v>
      </c>
      <c r="G75" s="9">
        <v>1.5</v>
      </c>
      <c r="H75" s="10"/>
      <c r="I75" s="9">
        <v>0</v>
      </c>
      <c r="J75" s="1" t="s">
        <v>78</v>
      </c>
      <c r="K75" s="1"/>
      <c r="L75" s="1"/>
    </row>
    <row r="76" spans="1:12" ht="66" customHeight="1" x14ac:dyDescent="0.35">
      <c r="A76" s="7">
        <v>11</v>
      </c>
      <c r="B76" s="1" t="s">
        <v>108</v>
      </c>
      <c r="C76" s="1" t="s">
        <v>209</v>
      </c>
      <c r="D76" s="1" t="s">
        <v>210</v>
      </c>
      <c r="E76" s="1" t="s">
        <v>353</v>
      </c>
      <c r="F76" s="1" t="s">
        <v>354</v>
      </c>
      <c r="G76" s="9">
        <v>1.5</v>
      </c>
      <c r="H76" s="10"/>
      <c r="I76" s="9">
        <v>0</v>
      </c>
      <c r="J76" s="1" t="s">
        <v>78</v>
      </c>
      <c r="K76" s="1"/>
      <c r="L76" s="1"/>
    </row>
    <row r="77" spans="1:12" ht="66" customHeight="1" x14ac:dyDescent="0.35">
      <c r="A77" s="7">
        <v>11</v>
      </c>
      <c r="B77" s="1" t="s">
        <v>108</v>
      </c>
      <c r="C77" s="1" t="s">
        <v>17</v>
      </c>
      <c r="D77" s="1" t="s">
        <v>213</v>
      </c>
      <c r="E77" s="1" t="s">
        <v>355</v>
      </c>
      <c r="F77" s="1" t="s">
        <v>356</v>
      </c>
      <c r="G77" s="9">
        <v>1.5</v>
      </c>
      <c r="H77" s="10"/>
      <c r="I77" s="9">
        <v>0</v>
      </c>
      <c r="J77" s="1" t="s">
        <v>78</v>
      </c>
      <c r="K77" s="1"/>
      <c r="L77" s="1"/>
    </row>
    <row r="78" spans="1:12" ht="66" customHeight="1" x14ac:dyDescent="0.35">
      <c r="A78" s="7">
        <v>11</v>
      </c>
      <c r="B78" s="1" t="s">
        <v>108</v>
      </c>
      <c r="C78" s="1" t="s">
        <v>20</v>
      </c>
      <c r="D78" s="1" t="s">
        <v>216</v>
      </c>
      <c r="E78" s="1" t="s">
        <v>357</v>
      </c>
      <c r="F78" s="1" t="s">
        <v>358</v>
      </c>
      <c r="G78" s="9">
        <v>1</v>
      </c>
      <c r="H78" s="10"/>
      <c r="I78" s="9">
        <v>0</v>
      </c>
      <c r="J78" s="1" t="s">
        <v>78</v>
      </c>
      <c r="K78" s="1"/>
      <c r="L78" s="1"/>
    </row>
    <row r="79" spans="1:12" ht="66" customHeight="1" x14ac:dyDescent="0.35">
      <c r="A79" s="7">
        <v>12</v>
      </c>
      <c r="B79" s="1" t="s">
        <v>108</v>
      </c>
      <c r="C79" s="1" t="s">
        <v>193</v>
      </c>
      <c r="D79" s="1" t="s">
        <v>194</v>
      </c>
      <c r="E79" s="1" t="s">
        <v>359</v>
      </c>
      <c r="F79" s="1" t="s">
        <v>360</v>
      </c>
      <c r="G79" s="9">
        <v>1.5</v>
      </c>
      <c r="H79" s="10"/>
      <c r="I79" s="9">
        <v>0</v>
      </c>
      <c r="J79" s="1" t="s">
        <v>78</v>
      </c>
      <c r="K79" s="1"/>
      <c r="L79" s="1"/>
    </row>
    <row r="80" spans="1:12" ht="66" customHeight="1" x14ac:dyDescent="0.35">
      <c r="A80" s="7">
        <v>12</v>
      </c>
      <c r="B80" s="1" t="s">
        <v>108</v>
      </c>
      <c r="C80" s="1" t="s">
        <v>197</v>
      </c>
      <c r="D80" s="1" t="s">
        <v>198</v>
      </c>
      <c r="E80" s="1" t="s">
        <v>361</v>
      </c>
      <c r="F80" s="1" t="s">
        <v>362</v>
      </c>
      <c r="G80" s="9">
        <v>1.5</v>
      </c>
      <c r="H80" s="10"/>
      <c r="I80" s="9">
        <v>0</v>
      </c>
      <c r="J80" s="1" t="s">
        <v>78</v>
      </c>
      <c r="K80" s="1"/>
      <c r="L80" s="1"/>
    </row>
    <row r="81" spans="1:12" ht="66" customHeight="1" x14ac:dyDescent="0.35">
      <c r="A81" s="7">
        <v>12</v>
      </c>
      <c r="B81" s="1" t="s">
        <v>108</v>
      </c>
      <c r="C81" s="1" t="s">
        <v>201</v>
      </c>
      <c r="D81" s="1" t="s">
        <v>202</v>
      </c>
      <c r="E81" s="1" t="s">
        <v>363</v>
      </c>
      <c r="F81" s="1" t="s">
        <v>364</v>
      </c>
      <c r="G81" s="9">
        <v>1.5</v>
      </c>
      <c r="H81" s="10"/>
      <c r="I81" s="9">
        <v>0</v>
      </c>
      <c r="J81" s="1" t="s">
        <v>78</v>
      </c>
      <c r="K81" s="1"/>
      <c r="L81" s="1"/>
    </row>
    <row r="82" spans="1:12" ht="66" customHeight="1" x14ac:dyDescent="0.35">
      <c r="A82" s="7">
        <v>12</v>
      </c>
      <c r="B82" s="1" t="s">
        <v>108</v>
      </c>
      <c r="C82" s="1" t="s">
        <v>205</v>
      </c>
      <c r="D82" s="1" t="s">
        <v>206</v>
      </c>
      <c r="E82" s="1" t="s">
        <v>365</v>
      </c>
      <c r="F82" s="1" t="s">
        <v>366</v>
      </c>
      <c r="G82" s="9">
        <v>1.5</v>
      </c>
      <c r="H82" s="10"/>
      <c r="I82" s="9">
        <v>0</v>
      </c>
      <c r="J82" s="1" t="s">
        <v>78</v>
      </c>
      <c r="K82" s="1"/>
      <c r="L82" s="1"/>
    </row>
    <row r="83" spans="1:12" ht="66" customHeight="1" x14ac:dyDescent="0.35">
      <c r="A83" s="7">
        <v>12</v>
      </c>
      <c r="B83" s="1" t="s">
        <v>108</v>
      </c>
      <c r="C83" s="1" t="s">
        <v>209</v>
      </c>
      <c r="D83" s="1" t="s">
        <v>210</v>
      </c>
      <c r="E83" s="1" t="s">
        <v>367</v>
      </c>
      <c r="F83" s="1" t="s">
        <v>368</v>
      </c>
      <c r="G83" s="9">
        <v>1.5</v>
      </c>
      <c r="H83" s="10"/>
      <c r="I83" s="9">
        <v>0</v>
      </c>
      <c r="J83" s="1" t="s">
        <v>78</v>
      </c>
      <c r="K83" s="1"/>
      <c r="L83" s="1"/>
    </row>
    <row r="84" spans="1:12" ht="66" customHeight="1" x14ac:dyDescent="0.35">
      <c r="A84" s="7">
        <v>12</v>
      </c>
      <c r="B84" s="1" t="s">
        <v>108</v>
      </c>
      <c r="C84" s="1" t="s">
        <v>17</v>
      </c>
      <c r="D84" s="1" t="s">
        <v>213</v>
      </c>
      <c r="E84" s="1" t="s">
        <v>369</v>
      </c>
      <c r="F84" s="1" t="s">
        <v>370</v>
      </c>
      <c r="G84" s="9">
        <v>1.5</v>
      </c>
      <c r="H84" s="10"/>
      <c r="I84" s="9">
        <v>0</v>
      </c>
      <c r="J84" s="1" t="s">
        <v>78</v>
      </c>
      <c r="K84" s="1"/>
      <c r="L84" s="1"/>
    </row>
    <row r="85" spans="1:12" ht="66" customHeight="1" x14ac:dyDescent="0.35">
      <c r="A85" s="7">
        <v>12</v>
      </c>
      <c r="B85" s="1" t="s">
        <v>108</v>
      </c>
      <c r="C85" s="1" t="s">
        <v>20</v>
      </c>
      <c r="D85" s="1" t="s">
        <v>216</v>
      </c>
      <c r="E85" s="1" t="s">
        <v>371</v>
      </c>
      <c r="F85" s="1" t="s">
        <v>372</v>
      </c>
      <c r="G85" s="9">
        <v>1</v>
      </c>
      <c r="H85" s="10"/>
      <c r="I85" s="9">
        <v>0</v>
      </c>
      <c r="J85" s="1" t="s">
        <v>78</v>
      </c>
      <c r="K85" s="1"/>
      <c r="L85" s="1"/>
    </row>
    <row r="86" spans="1:12" ht="66" customHeight="1" x14ac:dyDescent="0.35">
      <c r="A86" s="7">
        <v>13</v>
      </c>
      <c r="B86" s="1" t="s">
        <v>125</v>
      </c>
      <c r="C86" s="1" t="s">
        <v>193</v>
      </c>
      <c r="D86" s="1" t="s">
        <v>194</v>
      </c>
      <c r="E86" s="1" t="s">
        <v>373</v>
      </c>
      <c r="F86" s="1" t="s">
        <v>374</v>
      </c>
      <c r="G86" s="9">
        <v>1.5</v>
      </c>
      <c r="H86" s="10"/>
      <c r="I86" s="9">
        <v>0</v>
      </c>
      <c r="J86" s="1" t="s">
        <v>78</v>
      </c>
      <c r="K86" s="1"/>
      <c r="L86" s="1"/>
    </row>
    <row r="87" spans="1:12" ht="66" customHeight="1" x14ac:dyDescent="0.35">
      <c r="A87" s="7">
        <v>13</v>
      </c>
      <c r="B87" s="1" t="s">
        <v>125</v>
      </c>
      <c r="C87" s="1" t="s">
        <v>197</v>
      </c>
      <c r="D87" s="1" t="s">
        <v>198</v>
      </c>
      <c r="E87" s="1" t="s">
        <v>375</v>
      </c>
      <c r="F87" s="1" t="s">
        <v>376</v>
      </c>
      <c r="G87" s="9">
        <v>1.5</v>
      </c>
      <c r="H87" s="10"/>
      <c r="I87" s="9">
        <v>0</v>
      </c>
      <c r="J87" s="1" t="s">
        <v>78</v>
      </c>
      <c r="K87" s="1"/>
      <c r="L87" s="1"/>
    </row>
    <row r="88" spans="1:12" ht="66" customHeight="1" x14ac:dyDescent="0.35">
      <c r="A88" s="7">
        <v>13</v>
      </c>
      <c r="B88" s="1" t="s">
        <v>125</v>
      </c>
      <c r="C88" s="1" t="s">
        <v>201</v>
      </c>
      <c r="D88" s="1" t="s">
        <v>202</v>
      </c>
      <c r="E88" s="1" t="s">
        <v>377</v>
      </c>
      <c r="F88" s="1" t="s">
        <v>378</v>
      </c>
      <c r="G88" s="9">
        <v>1.5</v>
      </c>
      <c r="H88" s="10"/>
      <c r="I88" s="9">
        <v>0</v>
      </c>
      <c r="J88" s="1" t="s">
        <v>78</v>
      </c>
      <c r="K88" s="1"/>
      <c r="L88" s="1"/>
    </row>
    <row r="89" spans="1:12" ht="66" customHeight="1" x14ac:dyDescent="0.35">
      <c r="A89" s="7">
        <v>13</v>
      </c>
      <c r="B89" s="1" t="s">
        <v>125</v>
      </c>
      <c r="C89" s="1" t="s">
        <v>205</v>
      </c>
      <c r="D89" s="1" t="s">
        <v>206</v>
      </c>
      <c r="E89" s="1" t="s">
        <v>379</v>
      </c>
      <c r="F89" s="1" t="s">
        <v>380</v>
      </c>
      <c r="G89" s="9">
        <v>1.5</v>
      </c>
      <c r="H89" s="10"/>
      <c r="I89" s="9">
        <v>0</v>
      </c>
      <c r="J89" s="1" t="s">
        <v>78</v>
      </c>
      <c r="K89" s="1"/>
      <c r="L89" s="1"/>
    </row>
    <row r="90" spans="1:12" ht="66" customHeight="1" x14ac:dyDescent="0.35">
      <c r="A90" s="7">
        <v>13</v>
      </c>
      <c r="B90" s="1" t="s">
        <v>125</v>
      </c>
      <c r="C90" s="1" t="s">
        <v>209</v>
      </c>
      <c r="D90" s="1" t="s">
        <v>210</v>
      </c>
      <c r="E90" s="1" t="s">
        <v>381</v>
      </c>
      <c r="F90" s="1" t="s">
        <v>382</v>
      </c>
      <c r="G90" s="9">
        <v>1.5</v>
      </c>
      <c r="H90" s="10"/>
      <c r="I90" s="9">
        <v>0</v>
      </c>
      <c r="J90" s="1" t="s">
        <v>78</v>
      </c>
      <c r="K90" s="1"/>
      <c r="L90" s="1"/>
    </row>
    <row r="91" spans="1:12" ht="66" customHeight="1" x14ac:dyDescent="0.35">
      <c r="A91" s="7">
        <v>13</v>
      </c>
      <c r="B91" s="1" t="s">
        <v>125</v>
      </c>
      <c r="C91" s="1" t="s">
        <v>17</v>
      </c>
      <c r="D91" s="1" t="s">
        <v>213</v>
      </c>
      <c r="E91" s="1" t="s">
        <v>383</v>
      </c>
      <c r="F91" s="1" t="s">
        <v>384</v>
      </c>
      <c r="G91" s="9">
        <v>1.5</v>
      </c>
      <c r="H91" s="10"/>
      <c r="I91" s="9">
        <v>0</v>
      </c>
      <c r="J91" s="1" t="s">
        <v>78</v>
      </c>
      <c r="K91" s="1"/>
      <c r="L91" s="1"/>
    </row>
    <row r="92" spans="1:12" ht="66" customHeight="1" x14ac:dyDescent="0.35">
      <c r="A92" s="7">
        <v>13</v>
      </c>
      <c r="B92" s="1" t="s">
        <v>125</v>
      </c>
      <c r="C92" s="1" t="s">
        <v>20</v>
      </c>
      <c r="D92" s="1" t="s">
        <v>216</v>
      </c>
      <c r="E92" s="1" t="s">
        <v>385</v>
      </c>
      <c r="F92" s="1" t="s">
        <v>386</v>
      </c>
      <c r="G92" s="9">
        <v>1</v>
      </c>
      <c r="H92" s="10"/>
      <c r="I92" s="9">
        <v>0</v>
      </c>
      <c r="J92" s="1" t="s">
        <v>78</v>
      </c>
      <c r="K92" s="1"/>
      <c r="L92" s="1"/>
    </row>
    <row r="93" spans="1:12" ht="66" customHeight="1" x14ac:dyDescent="0.35">
      <c r="A93" s="7">
        <v>14</v>
      </c>
      <c r="B93" s="1" t="s">
        <v>125</v>
      </c>
      <c r="C93" s="1" t="s">
        <v>193</v>
      </c>
      <c r="D93" s="1" t="s">
        <v>194</v>
      </c>
      <c r="E93" s="1" t="s">
        <v>387</v>
      </c>
      <c r="F93" s="1" t="s">
        <v>388</v>
      </c>
      <c r="G93" s="9">
        <v>1.5</v>
      </c>
      <c r="H93" s="10"/>
      <c r="I93" s="9">
        <v>0</v>
      </c>
      <c r="J93" s="1" t="s">
        <v>78</v>
      </c>
      <c r="K93" s="1"/>
      <c r="L93" s="1"/>
    </row>
    <row r="94" spans="1:12" ht="66" customHeight="1" x14ac:dyDescent="0.35">
      <c r="A94" s="7">
        <v>14</v>
      </c>
      <c r="B94" s="1" t="s">
        <v>125</v>
      </c>
      <c r="C94" s="1" t="s">
        <v>197</v>
      </c>
      <c r="D94" s="1" t="s">
        <v>198</v>
      </c>
      <c r="E94" s="1" t="s">
        <v>389</v>
      </c>
      <c r="F94" s="1" t="s">
        <v>390</v>
      </c>
      <c r="G94" s="9">
        <v>1.5</v>
      </c>
      <c r="H94" s="10"/>
      <c r="I94" s="9">
        <v>0</v>
      </c>
      <c r="J94" s="1" t="s">
        <v>78</v>
      </c>
      <c r="K94" s="1"/>
      <c r="L94" s="1"/>
    </row>
    <row r="95" spans="1:12" ht="66" customHeight="1" x14ac:dyDescent="0.35">
      <c r="A95" s="7">
        <v>14</v>
      </c>
      <c r="B95" s="1" t="s">
        <v>125</v>
      </c>
      <c r="C95" s="1" t="s">
        <v>201</v>
      </c>
      <c r="D95" s="1" t="s">
        <v>202</v>
      </c>
      <c r="E95" s="1" t="s">
        <v>391</v>
      </c>
      <c r="F95" s="1" t="s">
        <v>392</v>
      </c>
      <c r="G95" s="9">
        <v>1.5</v>
      </c>
      <c r="H95" s="10"/>
      <c r="I95" s="9">
        <v>0</v>
      </c>
      <c r="J95" s="1" t="s">
        <v>78</v>
      </c>
      <c r="K95" s="1"/>
      <c r="L95" s="1"/>
    </row>
    <row r="96" spans="1:12" ht="66" customHeight="1" x14ac:dyDescent="0.35">
      <c r="A96" s="7">
        <v>14</v>
      </c>
      <c r="B96" s="1" t="s">
        <v>125</v>
      </c>
      <c r="C96" s="1" t="s">
        <v>205</v>
      </c>
      <c r="D96" s="1" t="s">
        <v>206</v>
      </c>
      <c r="E96" s="1" t="s">
        <v>393</v>
      </c>
      <c r="F96" s="1" t="s">
        <v>394</v>
      </c>
      <c r="G96" s="9">
        <v>1.5</v>
      </c>
      <c r="H96" s="10"/>
      <c r="I96" s="9">
        <v>0</v>
      </c>
      <c r="J96" s="1" t="s">
        <v>78</v>
      </c>
      <c r="K96" s="1"/>
      <c r="L96" s="1"/>
    </row>
    <row r="97" spans="1:12" ht="66" customHeight="1" x14ac:dyDescent="0.35">
      <c r="A97" s="7">
        <v>14</v>
      </c>
      <c r="B97" s="1" t="s">
        <v>125</v>
      </c>
      <c r="C97" s="1" t="s">
        <v>209</v>
      </c>
      <c r="D97" s="1" t="s">
        <v>210</v>
      </c>
      <c r="E97" s="1" t="s">
        <v>395</v>
      </c>
      <c r="F97" s="1" t="s">
        <v>396</v>
      </c>
      <c r="G97" s="9">
        <v>1.5</v>
      </c>
      <c r="H97" s="10"/>
      <c r="I97" s="9">
        <v>0</v>
      </c>
      <c r="J97" s="1" t="s">
        <v>78</v>
      </c>
      <c r="K97" s="1"/>
      <c r="L97" s="1"/>
    </row>
    <row r="98" spans="1:12" ht="66" customHeight="1" x14ac:dyDescent="0.35">
      <c r="A98" s="7">
        <v>14</v>
      </c>
      <c r="B98" s="1" t="s">
        <v>125</v>
      </c>
      <c r="C98" s="1" t="s">
        <v>17</v>
      </c>
      <c r="D98" s="1" t="s">
        <v>213</v>
      </c>
      <c r="E98" s="1" t="s">
        <v>397</v>
      </c>
      <c r="F98" s="1" t="s">
        <v>398</v>
      </c>
      <c r="G98" s="9">
        <v>1.5</v>
      </c>
      <c r="H98" s="10"/>
      <c r="I98" s="9">
        <v>0</v>
      </c>
      <c r="J98" s="1" t="s">
        <v>78</v>
      </c>
      <c r="K98" s="1"/>
      <c r="L98" s="1"/>
    </row>
    <row r="99" spans="1:12" ht="66" customHeight="1" x14ac:dyDescent="0.35">
      <c r="A99" s="7">
        <v>14</v>
      </c>
      <c r="B99" s="1" t="s">
        <v>125</v>
      </c>
      <c r="C99" s="1" t="s">
        <v>20</v>
      </c>
      <c r="D99" s="1" t="s">
        <v>216</v>
      </c>
      <c r="E99" s="1" t="s">
        <v>399</v>
      </c>
      <c r="F99" s="1" t="s">
        <v>400</v>
      </c>
      <c r="G99" s="9">
        <v>1</v>
      </c>
      <c r="H99" s="10"/>
      <c r="I99" s="9">
        <v>0</v>
      </c>
      <c r="J99" s="1" t="s">
        <v>78</v>
      </c>
      <c r="K99" s="1"/>
      <c r="L99" s="1"/>
    </row>
    <row r="100" spans="1:12" ht="66" customHeight="1" x14ac:dyDescent="0.35">
      <c r="A100" s="7">
        <v>15</v>
      </c>
      <c r="B100" s="1" t="s">
        <v>125</v>
      </c>
      <c r="C100" s="1" t="s">
        <v>193</v>
      </c>
      <c r="D100" s="1" t="s">
        <v>194</v>
      </c>
      <c r="E100" s="1" t="s">
        <v>401</v>
      </c>
      <c r="F100" s="1" t="s">
        <v>402</v>
      </c>
      <c r="G100" s="9">
        <v>1.5</v>
      </c>
      <c r="H100" s="10"/>
      <c r="I100" s="9">
        <v>0</v>
      </c>
      <c r="J100" s="1" t="s">
        <v>78</v>
      </c>
      <c r="K100" s="1"/>
      <c r="L100" s="1"/>
    </row>
    <row r="101" spans="1:12" ht="66" customHeight="1" x14ac:dyDescent="0.35">
      <c r="A101" s="7">
        <v>15</v>
      </c>
      <c r="B101" s="1" t="s">
        <v>125</v>
      </c>
      <c r="C101" s="1" t="s">
        <v>197</v>
      </c>
      <c r="D101" s="1" t="s">
        <v>198</v>
      </c>
      <c r="E101" s="1" t="s">
        <v>403</v>
      </c>
      <c r="F101" s="1" t="s">
        <v>404</v>
      </c>
      <c r="G101" s="9">
        <v>1.5</v>
      </c>
      <c r="H101" s="10"/>
      <c r="I101" s="9">
        <v>0</v>
      </c>
      <c r="J101" s="1" t="s">
        <v>78</v>
      </c>
      <c r="K101" s="1"/>
      <c r="L101" s="1"/>
    </row>
    <row r="102" spans="1:12" ht="66" customHeight="1" x14ac:dyDescent="0.35">
      <c r="A102" s="7">
        <v>15</v>
      </c>
      <c r="B102" s="1" t="s">
        <v>125</v>
      </c>
      <c r="C102" s="1" t="s">
        <v>201</v>
      </c>
      <c r="D102" s="1" t="s">
        <v>202</v>
      </c>
      <c r="E102" s="1" t="s">
        <v>405</v>
      </c>
      <c r="F102" s="1" t="s">
        <v>406</v>
      </c>
      <c r="G102" s="9">
        <v>1.5</v>
      </c>
      <c r="H102" s="10"/>
      <c r="I102" s="9">
        <v>0</v>
      </c>
      <c r="J102" s="1" t="s">
        <v>78</v>
      </c>
      <c r="K102" s="1"/>
      <c r="L102" s="1"/>
    </row>
    <row r="103" spans="1:12" ht="66" customHeight="1" x14ac:dyDescent="0.35">
      <c r="A103" s="7">
        <v>15</v>
      </c>
      <c r="B103" s="1" t="s">
        <v>125</v>
      </c>
      <c r="C103" s="1" t="s">
        <v>205</v>
      </c>
      <c r="D103" s="1" t="s">
        <v>206</v>
      </c>
      <c r="E103" s="1" t="s">
        <v>407</v>
      </c>
      <c r="F103" s="1" t="s">
        <v>408</v>
      </c>
      <c r="G103" s="9">
        <v>1.5</v>
      </c>
      <c r="H103" s="10"/>
      <c r="I103" s="9">
        <v>0</v>
      </c>
      <c r="J103" s="1" t="s">
        <v>78</v>
      </c>
      <c r="K103" s="1"/>
      <c r="L103" s="1"/>
    </row>
    <row r="104" spans="1:12" ht="66" customHeight="1" x14ac:dyDescent="0.35">
      <c r="A104" s="7">
        <v>15</v>
      </c>
      <c r="B104" s="1" t="s">
        <v>125</v>
      </c>
      <c r="C104" s="1" t="s">
        <v>209</v>
      </c>
      <c r="D104" s="1" t="s">
        <v>210</v>
      </c>
      <c r="E104" s="1" t="s">
        <v>409</v>
      </c>
      <c r="F104" s="1" t="s">
        <v>410</v>
      </c>
      <c r="G104" s="9">
        <v>1.5</v>
      </c>
      <c r="H104" s="10"/>
      <c r="I104" s="9">
        <v>0</v>
      </c>
      <c r="J104" s="1" t="s">
        <v>78</v>
      </c>
      <c r="K104" s="1"/>
      <c r="L104" s="1"/>
    </row>
    <row r="105" spans="1:12" ht="66" customHeight="1" x14ac:dyDescent="0.35">
      <c r="A105" s="7">
        <v>15</v>
      </c>
      <c r="B105" s="1" t="s">
        <v>125</v>
      </c>
      <c r="C105" s="1" t="s">
        <v>17</v>
      </c>
      <c r="D105" s="1" t="s">
        <v>213</v>
      </c>
      <c r="E105" s="1" t="s">
        <v>411</v>
      </c>
      <c r="F105" s="1" t="s">
        <v>412</v>
      </c>
      <c r="G105" s="9">
        <v>1.5</v>
      </c>
      <c r="H105" s="10"/>
      <c r="I105" s="9">
        <v>0</v>
      </c>
      <c r="J105" s="1" t="s">
        <v>78</v>
      </c>
      <c r="K105" s="1"/>
      <c r="L105" s="1"/>
    </row>
    <row r="106" spans="1:12" ht="66" customHeight="1" x14ac:dyDescent="0.35">
      <c r="A106" s="7">
        <v>15</v>
      </c>
      <c r="B106" s="1" t="s">
        <v>125</v>
      </c>
      <c r="C106" s="1" t="s">
        <v>20</v>
      </c>
      <c r="D106" s="1" t="s">
        <v>216</v>
      </c>
      <c r="E106" s="1" t="s">
        <v>413</v>
      </c>
      <c r="F106" s="1" t="s">
        <v>414</v>
      </c>
      <c r="G106" s="9">
        <v>1</v>
      </c>
      <c r="H106" s="10"/>
      <c r="I106" s="9">
        <v>0</v>
      </c>
      <c r="J106" s="1" t="s">
        <v>78</v>
      </c>
      <c r="K106" s="1"/>
      <c r="L106" s="1"/>
    </row>
    <row r="107" spans="1:12" ht="66" customHeight="1" x14ac:dyDescent="0.35">
      <c r="A107" s="7">
        <v>16</v>
      </c>
      <c r="B107" s="1" t="s">
        <v>125</v>
      </c>
      <c r="C107" s="1" t="s">
        <v>193</v>
      </c>
      <c r="D107" s="1" t="s">
        <v>194</v>
      </c>
      <c r="E107" s="1" t="s">
        <v>415</v>
      </c>
      <c r="F107" s="1" t="s">
        <v>416</v>
      </c>
      <c r="G107" s="9">
        <v>1.5</v>
      </c>
      <c r="H107" s="10"/>
      <c r="I107" s="9">
        <v>0</v>
      </c>
      <c r="J107" s="1" t="s">
        <v>78</v>
      </c>
      <c r="K107" s="1"/>
      <c r="L107" s="1"/>
    </row>
    <row r="108" spans="1:12" ht="66" customHeight="1" x14ac:dyDescent="0.35">
      <c r="A108" s="7">
        <v>16</v>
      </c>
      <c r="B108" s="1" t="s">
        <v>125</v>
      </c>
      <c r="C108" s="1" t="s">
        <v>197</v>
      </c>
      <c r="D108" s="1" t="s">
        <v>198</v>
      </c>
      <c r="E108" s="1" t="s">
        <v>417</v>
      </c>
      <c r="F108" s="1" t="s">
        <v>418</v>
      </c>
      <c r="G108" s="9">
        <v>1.5</v>
      </c>
      <c r="H108" s="10"/>
      <c r="I108" s="9">
        <v>0</v>
      </c>
      <c r="J108" s="1" t="s">
        <v>78</v>
      </c>
      <c r="K108" s="1"/>
      <c r="L108" s="1"/>
    </row>
    <row r="109" spans="1:12" ht="66" customHeight="1" x14ac:dyDescent="0.35">
      <c r="A109" s="7">
        <v>16</v>
      </c>
      <c r="B109" s="1" t="s">
        <v>125</v>
      </c>
      <c r="C109" s="1" t="s">
        <v>201</v>
      </c>
      <c r="D109" s="1" t="s">
        <v>202</v>
      </c>
      <c r="E109" s="1" t="s">
        <v>419</v>
      </c>
      <c r="F109" s="1" t="s">
        <v>420</v>
      </c>
      <c r="G109" s="9">
        <v>1.5</v>
      </c>
      <c r="H109" s="10"/>
      <c r="I109" s="9">
        <v>0</v>
      </c>
      <c r="J109" s="1" t="s">
        <v>78</v>
      </c>
      <c r="K109" s="1"/>
      <c r="L109" s="1"/>
    </row>
    <row r="110" spans="1:12" ht="66" customHeight="1" x14ac:dyDescent="0.35">
      <c r="A110" s="7">
        <v>16</v>
      </c>
      <c r="B110" s="1" t="s">
        <v>125</v>
      </c>
      <c r="C110" s="1" t="s">
        <v>205</v>
      </c>
      <c r="D110" s="1" t="s">
        <v>206</v>
      </c>
      <c r="E110" s="1" t="s">
        <v>421</v>
      </c>
      <c r="F110" s="1" t="s">
        <v>422</v>
      </c>
      <c r="G110" s="9">
        <v>1.5</v>
      </c>
      <c r="H110" s="10"/>
      <c r="I110" s="9">
        <v>0</v>
      </c>
      <c r="J110" s="1" t="s">
        <v>78</v>
      </c>
      <c r="K110" s="1"/>
      <c r="L110" s="1"/>
    </row>
    <row r="111" spans="1:12" ht="66" customHeight="1" x14ac:dyDescent="0.35">
      <c r="A111" s="7">
        <v>16</v>
      </c>
      <c r="B111" s="1" t="s">
        <v>125</v>
      </c>
      <c r="C111" s="1" t="s">
        <v>209</v>
      </c>
      <c r="D111" s="1" t="s">
        <v>210</v>
      </c>
      <c r="E111" s="1" t="s">
        <v>423</v>
      </c>
      <c r="F111" s="1" t="s">
        <v>424</v>
      </c>
      <c r="G111" s="9">
        <v>1.5</v>
      </c>
      <c r="H111" s="10"/>
      <c r="I111" s="9">
        <v>0</v>
      </c>
      <c r="J111" s="1" t="s">
        <v>78</v>
      </c>
      <c r="K111" s="1"/>
      <c r="L111" s="1"/>
    </row>
    <row r="112" spans="1:12" ht="66" customHeight="1" x14ac:dyDescent="0.35">
      <c r="A112" s="7">
        <v>16</v>
      </c>
      <c r="B112" s="1" t="s">
        <v>125</v>
      </c>
      <c r="C112" s="1" t="s">
        <v>17</v>
      </c>
      <c r="D112" s="1" t="s">
        <v>213</v>
      </c>
      <c r="E112" s="1" t="s">
        <v>425</v>
      </c>
      <c r="F112" s="1" t="s">
        <v>426</v>
      </c>
      <c r="G112" s="9">
        <v>1.5</v>
      </c>
      <c r="H112" s="10"/>
      <c r="I112" s="9">
        <v>0</v>
      </c>
      <c r="J112" s="1" t="s">
        <v>78</v>
      </c>
      <c r="K112" s="1"/>
      <c r="L112" s="1"/>
    </row>
    <row r="113" spans="1:12" ht="66" customHeight="1" x14ac:dyDescent="0.35">
      <c r="A113" s="7">
        <v>16</v>
      </c>
      <c r="B113" s="1" t="s">
        <v>125</v>
      </c>
      <c r="C113" s="1" t="s">
        <v>20</v>
      </c>
      <c r="D113" s="1" t="s">
        <v>216</v>
      </c>
      <c r="E113" s="1" t="s">
        <v>427</v>
      </c>
      <c r="F113" s="1" t="s">
        <v>428</v>
      </c>
      <c r="G113" s="9">
        <v>1</v>
      </c>
      <c r="H113" s="10"/>
      <c r="I113" s="9">
        <v>0</v>
      </c>
      <c r="J113" s="1" t="s">
        <v>78</v>
      </c>
      <c r="K113" s="1"/>
      <c r="L113" s="1"/>
    </row>
    <row r="114" spans="1:12" ht="66" customHeight="1" x14ac:dyDescent="0.35">
      <c r="A114" s="7">
        <v>17</v>
      </c>
      <c r="B114" s="1" t="s">
        <v>142</v>
      </c>
      <c r="C114" s="1" t="s">
        <v>193</v>
      </c>
      <c r="D114" s="1" t="s">
        <v>194</v>
      </c>
      <c r="E114" s="1" t="s">
        <v>429</v>
      </c>
      <c r="F114" s="1" t="s">
        <v>430</v>
      </c>
      <c r="G114" s="9">
        <v>1.5</v>
      </c>
      <c r="H114" s="10"/>
      <c r="I114" s="9">
        <v>0</v>
      </c>
      <c r="J114" s="1" t="s">
        <v>78</v>
      </c>
      <c r="K114" s="1"/>
      <c r="L114" s="1"/>
    </row>
    <row r="115" spans="1:12" ht="66" customHeight="1" x14ac:dyDescent="0.35">
      <c r="A115" s="7">
        <v>17</v>
      </c>
      <c r="B115" s="1" t="s">
        <v>142</v>
      </c>
      <c r="C115" s="1" t="s">
        <v>197</v>
      </c>
      <c r="D115" s="1" t="s">
        <v>198</v>
      </c>
      <c r="E115" s="1" t="s">
        <v>431</v>
      </c>
      <c r="F115" s="1" t="s">
        <v>432</v>
      </c>
      <c r="G115" s="9">
        <v>1.5</v>
      </c>
      <c r="H115" s="10"/>
      <c r="I115" s="9">
        <v>0</v>
      </c>
      <c r="J115" s="1" t="s">
        <v>78</v>
      </c>
      <c r="K115" s="1"/>
      <c r="L115" s="1"/>
    </row>
    <row r="116" spans="1:12" ht="66" customHeight="1" x14ac:dyDescent="0.35">
      <c r="A116" s="7">
        <v>17</v>
      </c>
      <c r="B116" s="1" t="s">
        <v>142</v>
      </c>
      <c r="C116" s="1" t="s">
        <v>201</v>
      </c>
      <c r="D116" s="1" t="s">
        <v>202</v>
      </c>
      <c r="E116" s="1" t="s">
        <v>433</v>
      </c>
      <c r="F116" s="1" t="s">
        <v>434</v>
      </c>
      <c r="G116" s="9">
        <v>1.5</v>
      </c>
      <c r="H116" s="10"/>
      <c r="I116" s="9">
        <v>0</v>
      </c>
      <c r="J116" s="1" t="s">
        <v>78</v>
      </c>
      <c r="K116" s="1"/>
      <c r="L116" s="1"/>
    </row>
    <row r="117" spans="1:12" ht="66" customHeight="1" x14ac:dyDescent="0.35">
      <c r="A117" s="7">
        <v>17</v>
      </c>
      <c r="B117" s="1" t="s">
        <v>142</v>
      </c>
      <c r="C117" s="1" t="s">
        <v>205</v>
      </c>
      <c r="D117" s="1" t="s">
        <v>206</v>
      </c>
      <c r="E117" s="1" t="s">
        <v>435</v>
      </c>
      <c r="F117" s="1" t="s">
        <v>436</v>
      </c>
      <c r="G117" s="9">
        <v>1.5</v>
      </c>
      <c r="H117" s="10"/>
      <c r="I117" s="9">
        <v>0</v>
      </c>
      <c r="J117" s="1" t="s">
        <v>78</v>
      </c>
      <c r="K117" s="1"/>
      <c r="L117" s="1"/>
    </row>
    <row r="118" spans="1:12" ht="66" customHeight="1" x14ac:dyDescent="0.35">
      <c r="A118" s="7">
        <v>17</v>
      </c>
      <c r="B118" s="1" t="s">
        <v>142</v>
      </c>
      <c r="C118" s="1" t="s">
        <v>209</v>
      </c>
      <c r="D118" s="1" t="s">
        <v>210</v>
      </c>
      <c r="E118" s="1" t="s">
        <v>437</v>
      </c>
      <c r="F118" s="1" t="s">
        <v>438</v>
      </c>
      <c r="G118" s="9">
        <v>1.5</v>
      </c>
      <c r="H118" s="10"/>
      <c r="I118" s="9">
        <v>0</v>
      </c>
      <c r="J118" s="1" t="s">
        <v>78</v>
      </c>
      <c r="K118" s="1"/>
      <c r="L118" s="1"/>
    </row>
    <row r="119" spans="1:12" ht="66" customHeight="1" x14ac:dyDescent="0.35">
      <c r="A119" s="7">
        <v>17</v>
      </c>
      <c r="B119" s="1" t="s">
        <v>142</v>
      </c>
      <c r="C119" s="1" t="s">
        <v>17</v>
      </c>
      <c r="D119" s="1" t="s">
        <v>213</v>
      </c>
      <c r="E119" s="1" t="s">
        <v>439</v>
      </c>
      <c r="F119" s="1" t="s">
        <v>440</v>
      </c>
      <c r="G119" s="9">
        <v>1.5</v>
      </c>
      <c r="H119" s="10"/>
      <c r="I119" s="9">
        <v>0</v>
      </c>
      <c r="J119" s="1" t="s">
        <v>78</v>
      </c>
      <c r="K119" s="1"/>
      <c r="L119" s="1"/>
    </row>
    <row r="120" spans="1:12" ht="66" customHeight="1" x14ac:dyDescent="0.35">
      <c r="A120" s="7">
        <v>17</v>
      </c>
      <c r="B120" s="1" t="s">
        <v>142</v>
      </c>
      <c r="C120" s="1" t="s">
        <v>20</v>
      </c>
      <c r="D120" s="1" t="s">
        <v>216</v>
      </c>
      <c r="E120" s="1" t="s">
        <v>441</v>
      </c>
      <c r="F120" s="1" t="s">
        <v>442</v>
      </c>
      <c r="G120" s="9">
        <v>1</v>
      </c>
      <c r="H120" s="10"/>
      <c r="I120" s="9">
        <v>0</v>
      </c>
      <c r="J120" s="1" t="s">
        <v>78</v>
      </c>
      <c r="K120" s="1"/>
      <c r="L120" s="1"/>
    </row>
    <row r="121" spans="1:12" ht="66" customHeight="1" x14ac:dyDescent="0.35">
      <c r="A121" s="7">
        <v>18</v>
      </c>
      <c r="B121" s="1" t="s">
        <v>142</v>
      </c>
      <c r="C121" s="1" t="s">
        <v>193</v>
      </c>
      <c r="D121" s="1" t="s">
        <v>194</v>
      </c>
      <c r="E121" s="1" t="s">
        <v>443</v>
      </c>
      <c r="F121" s="1" t="s">
        <v>444</v>
      </c>
      <c r="G121" s="9">
        <v>1.5</v>
      </c>
      <c r="H121" s="10"/>
      <c r="I121" s="9">
        <v>0</v>
      </c>
      <c r="J121" s="1" t="s">
        <v>78</v>
      </c>
      <c r="K121" s="1"/>
      <c r="L121" s="1"/>
    </row>
    <row r="122" spans="1:12" ht="66" customHeight="1" x14ac:dyDescent="0.35">
      <c r="A122" s="7">
        <v>18</v>
      </c>
      <c r="B122" s="1" t="s">
        <v>142</v>
      </c>
      <c r="C122" s="1" t="s">
        <v>197</v>
      </c>
      <c r="D122" s="1" t="s">
        <v>198</v>
      </c>
      <c r="E122" s="1" t="s">
        <v>445</v>
      </c>
      <c r="F122" s="1" t="s">
        <v>446</v>
      </c>
      <c r="G122" s="9">
        <v>1.5</v>
      </c>
      <c r="H122" s="10"/>
      <c r="I122" s="9">
        <v>0</v>
      </c>
      <c r="J122" s="1" t="s">
        <v>78</v>
      </c>
      <c r="K122" s="1"/>
      <c r="L122" s="1"/>
    </row>
    <row r="123" spans="1:12" ht="66" customHeight="1" x14ac:dyDescent="0.35">
      <c r="A123" s="7">
        <v>18</v>
      </c>
      <c r="B123" s="1" t="s">
        <v>142</v>
      </c>
      <c r="C123" s="1" t="s">
        <v>201</v>
      </c>
      <c r="D123" s="1" t="s">
        <v>202</v>
      </c>
      <c r="E123" s="1" t="s">
        <v>447</v>
      </c>
      <c r="F123" s="1" t="s">
        <v>448</v>
      </c>
      <c r="G123" s="9">
        <v>1.5</v>
      </c>
      <c r="H123" s="10"/>
      <c r="I123" s="9">
        <v>0</v>
      </c>
      <c r="J123" s="1" t="s">
        <v>78</v>
      </c>
      <c r="K123" s="1"/>
      <c r="L123" s="1"/>
    </row>
    <row r="124" spans="1:12" ht="66" customHeight="1" x14ac:dyDescent="0.35">
      <c r="A124" s="7">
        <v>18</v>
      </c>
      <c r="B124" s="1" t="s">
        <v>142</v>
      </c>
      <c r="C124" s="1" t="s">
        <v>205</v>
      </c>
      <c r="D124" s="1" t="s">
        <v>206</v>
      </c>
      <c r="E124" s="1" t="s">
        <v>449</v>
      </c>
      <c r="F124" s="1" t="s">
        <v>450</v>
      </c>
      <c r="G124" s="9">
        <v>1.5</v>
      </c>
      <c r="H124" s="10"/>
      <c r="I124" s="9">
        <v>0</v>
      </c>
      <c r="J124" s="1" t="s">
        <v>78</v>
      </c>
      <c r="K124" s="1"/>
      <c r="L124" s="1"/>
    </row>
    <row r="125" spans="1:12" ht="66" customHeight="1" x14ac:dyDescent="0.35">
      <c r="A125" s="7">
        <v>18</v>
      </c>
      <c r="B125" s="1" t="s">
        <v>142</v>
      </c>
      <c r="C125" s="1" t="s">
        <v>209</v>
      </c>
      <c r="D125" s="1" t="s">
        <v>210</v>
      </c>
      <c r="E125" s="1" t="s">
        <v>451</v>
      </c>
      <c r="F125" s="1" t="s">
        <v>452</v>
      </c>
      <c r="G125" s="9">
        <v>1.5</v>
      </c>
      <c r="H125" s="10"/>
      <c r="I125" s="9">
        <v>0</v>
      </c>
      <c r="J125" s="1" t="s">
        <v>78</v>
      </c>
      <c r="K125" s="1"/>
      <c r="L125" s="1"/>
    </row>
    <row r="126" spans="1:12" ht="66" customHeight="1" x14ac:dyDescent="0.35">
      <c r="A126" s="7">
        <v>18</v>
      </c>
      <c r="B126" s="1" t="s">
        <v>142</v>
      </c>
      <c r="C126" s="1" t="s">
        <v>17</v>
      </c>
      <c r="D126" s="1" t="s">
        <v>213</v>
      </c>
      <c r="E126" s="1" t="s">
        <v>453</v>
      </c>
      <c r="F126" s="1" t="s">
        <v>454</v>
      </c>
      <c r="G126" s="9">
        <v>1.5</v>
      </c>
      <c r="H126" s="10"/>
      <c r="I126" s="9">
        <v>0</v>
      </c>
      <c r="J126" s="1" t="s">
        <v>78</v>
      </c>
      <c r="K126" s="1"/>
      <c r="L126" s="1"/>
    </row>
    <row r="127" spans="1:12" ht="66" customHeight="1" x14ac:dyDescent="0.35">
      <c r="A127" s="7">
        <v>18</v>
      </c>
      <c r="B127" s="1" t="s">
        <v>142</v>
      </c>
      <c r="C127" s="1" t="s">
        <v>20</v>
      </c>
      <c r="D127" s="1" t="s">
        <v>216</v>
      </c>
      <c r="E127" s="1" t="s">
        <v>455</v>
      </c>
      <c r="F127" s="1" t="s">
        <v>456</v>
      </c>
      <c r="G127" s="9">
        <v>1</v>
      </c>
      <c r="H127" s="10"/>
      <c r="I127" s="9">
        <v>0</v>
      </c>
      <c r="J127" s="1" t="s">
        <v>78</v>
      </c>
      <c r="K127" s="1"/>
      <c r="L127" s="1"/>
    </row>
    <row r="128" spans="1:12" ht="66" customHeight="1" x14ac:dyDescent="0.35">
      <c r="A128" s="7">
        <v>19</v>
      </c>
      <c r="B128" s="1" t="s">
        <v>142</v>
      </c>
      <c r="C128" s="1" t="s">
        <v>193</v>
      </c>
      <c r="D128" s="1" t="s">
        <v>194</v>
      </c>
      <c r="E128" s="1" t="s">
        <v>457</v>
      </c>
      <c r="F128" s="1" t="s">
        <v>458</v>
      </c>
      <c r="G128" s="9">
        <v>1.5</v>
      </c>
      <c r="H128" s="10"/>
      <c r="I128" s="9">
        <v>0</v>
      </c>
      <c r="J128" s="1" t="s">
        <v>78</v>
      </c>
      <c r="K128" s="1"/>
      <c r="L128" s="1"/>
    </row>
    <row r="129" spans="1:12" ht="66" customHeight="1" x14ac:dyDescent="0.35">
      <c r="A129" s="7">
        <v>19</v>
      </c>
      <c r="B129" s="1" t="s">
        <v>142</v>
      </c>
      <c r="C129" s="1" t="s">
        <v>197</v>
      </c>
      <c r="D129" s="1" t="s">
        <v>198</v>
      </c>
      <c r="E129" s="1" t="s">
        <v>459</v>
      </c>
      <c r="F129" s="1" t="s">
        <v>460</v>
      </c>
      <c r="G129" s="9">
        <v>1.5</v>
      </c>
      <c r="H129" s="10"/>
      <c r="I129" s="9">
        <v>0</v>
      </c>
      <c r="J129" s="1" t="s">
        <v>78</v>
      </c>
      <c r="K129" s="1"/>
      <c r="L129" s="1"/>
    </row>
    <row r="130" spans="1:12" ht="66" customHeight="1" x14ac:dyDescent="0.35">
      <c r="A130" s="7">
        <v>19</v>
      </c>
      <c r="B130" s="1" t="s">
        <v>142</v>
      </c>
      <c r="C130" s="1" t="s">
        <v>201</v>
      </c>
      <c r="D130" s="1" t="s">
        <v>202</v>
      </c>
      <c r="E130" s="1" t="s">
        <v>461</v>
      </c>
      <c r="F130" s="1" t="s">
        <v>462</v>
      </c>
      <c r="G130" s="9">
        <v>1.5</v>
      </c>
      <c r="H130" s="10"/>
      <c r="I130" s="9">
        <v>0</v>
      </c>
      <c r="J130" s="1" t="s">
        <v>78</v>
      </c>
      <c r="K130" s="1"/>
      <c r="L130" s="1"/>
    </row>
    <row r="131" spans="1:12" ht="66" customHeight="1" x14ac:dyDescent="0.35">
      <c r="A131" s="7">
        <v>19</v>
      </c>
      <c r="B131" s="1" t="s">
        <v>142</v>
      </c>
      <c r="C131" s="1" t="s">
        <v>205</v>
      </c>
      <c r="D131" s="1" t="s">
        <v>206</v>
      </c>
      <c r="E131" s="1" t="s">
        <v>463</v>
      </c>
      <c r="F131" s="1" t="s">
        <v>464</v>
      </c>
      <c r="G131" s="9">
        <v>1.5</v>
      </c>
      <c r="H131" s="10"/>
      <c r="I131" s="9">
        <v>0</v>
      </c>
      <c r="J131" s="1" t="s">
        <v>78</v>
      </c>
      <c r="K131" s="1"/>
      <c r="L131" s="1"/>
    </row>
    <row r="132" spans="1:12" ht="66" customHeight="1" x14ac:dyDescent="0.35">
      <c r="A132" s="7">
        <v>19</v>
      </c>
      <c r="B132" s="1" t="s">
        <v>142</v>
      </c>
      <c r="C132" s="1" t="s">
        <v>209</v>
      </c>
      <c r="D132" s="1" t="s">
        <v>210</v>
      </c>
      <c r="E132" s="1" t="s">
        <v>465</v>
      </c>
      <c r="F132" s="1" t="s">
        <v>466</v>
      </c>
      <c r="G132" s="9">
        <v>1.5</v>
      </c>
      <c r="H132" s="10"/>
      <c r="I132" s="9">
        <v>0</v>
      </c>
      <c r="J132" s="1" t="s">
        <v>78</v>
      </c>
      <c r="K132" s="1"/>
      <c r="L132" s="1"/>
    </row>
    <row r="133" spans="1:12" ht="66" customHeight="1" x14ac:dyDescent="0.35">
      <c r="A133" s="7">
        <v>19</v>
      </c>
      <c r="B133" s="1" t="s">
        <v>142</v>
      </c>
      <c r="C133" s="1" t="s">
        <v>17</v>
      </c>
      <c r="D133" s="1" t="s">
        <v>213</v>
      </c>
      <c r="E133" s="1" t="s">
        <v>467</v>
      </c>
      <c r="F133" s="1" t="s">
        <v>468</v>
      </c>
      <c r="G133" s="9">
        <v>1.5</v>
      </c>
      <c r="H133" s="10"/>
      <c r="I133" s="9">
        <v>0</v>
      </c>
      <c r="J133" s="1" t="s">
        <v>78</v>
      </c>
      <c r="K133" s="1"/>
      <c r="L133" s="1"/>
    </row>
    <row r="134" spans="1:12" ht="66" customHeight="1" x14ac:dyDescent="0.35">
      <c r="A134" s="7">
        <v>19</v>
      </c>
      <c r="B134" s="1" t="s">
        <v>142</v>
      </c>
      <c r="C134" s="1" t="s">
        <v>20</v>
      </c>
      <c r="D134" s="1" t="s">
        <v>216</v>
      </c>
      <c r="E134" s="1" t="s">
        <v>469</v>
      </c>
      <c r="F134" s="1" t="s">
        <v>470</v>
      </c>
      <c r="G134" s="9">
        <v>1</v>
      </c>
      <c r="H134" s="10"/>
      <c r="I134" s="9">
        <v>0</v>
      </c>
      <c r="J134" s="1" t="s">
        <v>78</v>
      </c>
      <c r="K134" s="1"/>
      <c r="L134" s="1"/>
    </row>
    <row r="135" spans="1:12" ht="66" customHeight="1" x14ac:dyDescent="0.35">
      <c r="A135" s="7">
        <v>20</v>
      </c>
      <c r="B135" s="1" t="s">
        <v>142</v>
      </c>
      <c r="C135" s="1" t="s">
        <v>193</v>
      </c>
      <c r="D135" s="1" t="s">
        <v>194</v>
      </c>
      <c r="E135" s="1" t="s">
        <v>471</v>
      </c>
      <c r="F135" s="1" t="s">
        <v>472</v>
      </c>
      <c r="G135" s="9">
        <v>1.5</v>
      </c>
      <c r="H135" s="10"/>
      <c r="I135" s="9">
        <v>0</v>
      </c>
      <c r="J135" s="1" t="s">
        <v>78</v>
      </c>
      <c r="K135" s="1"/>
      <c r="L135" s="1"/>
    </row>
    <row r="136" spans="1:12" ht="66" customHeight="1" x14ac:dyDescent="0.35">
      <c r="A136" s="7">
        <v>20</v>
      </c>
      <c r="B136" s="1" t="s">
        <v>142</v>
      </c>
      <c r="C136" s="1" t="s">
        <v>197</v>
      </c>
      <c r="D136" s="1" t="s">
        <v>198</v>
      </c>
      <c r="E136" s="1" t="s">
        <v>473</v>
      </c>
      <c r="F136" s="1" t="s">
        <v>474</v>
      </c>
      <c r="G136" s="9">
        <v>1.5</v>
      </c>
      <c r="H136" s="10"/>
      <c r="I136" s="9">
        <v>0</v>
      </c>
      <c r="J136" s="1" t="s">
        <v>78</v>
      </c>
      <c r="K136" s="1"/>
      <c r="L136" s="1"/>
    </row>
    <row r="137" spans="1:12" ht="66" customHeight="1" x14ac:dyDescent="0.35">
      <c r="A137" s="7">
        <v>20</v>
      </c>
      <c r="B137" s="1" t="s">
        <v>142</v>
      </c>
      <c r="C137" s="1" t="s">
        <v>201</v>
      </c>
      <c r="D137" s="1" t="s">
        <v>202</v>
      </c>
      <c r="E137" s="1" t="s">
        <v>475</v>
      </c>
      <c r="F137" s="1" t="s">
        <v>476</v>
      </c>
      <c r="G137" s="9">
        <v>1.5</v>
      </c>
      <c r="H137" s="10"/>
      <c r="I137" s="9">
        <v>0</v>
      </c>
      <c r="J137" s="1" t="s">
        <v>78</v>
      </c>
      <c r="K137" s="1"/>
      <c r="L137" s="1"/>
    </row>
    <row r="138" spans="1:12" ht="66" customHeight="1" x14ac:dyDescent="0.35">
      <c r="A138" s="7">
        <v>20</v>
      </c>
      <c r="B138" s="1" t="s">
        <v>142</v>
      </c>
      <c r="C138" s="1" t="s">
        <v>205</v>
      </c>
      <c r="D138" s="1" t="s">
        <v>206</v>
      </c>
      <c r="E138" s="1" t="s">
        <v>477</v>
      </c>
      <c r="F138" s="1" t="s">
        <v>478</v>
      </c>
      <c r="G138" s="9">
        <v>1.5</v>
      </c>
      <c r="H138" s="10"/>
      <c r="I138" s="9">
        <v>0</v>
      </c>
      <c r="J138" s="1" t="s">
        <v>78</v>
      </c>
      <c r="K138" s="1"/>
      <c r="L138" s="1"/>
    </row>
    <row r="139" spans="1:12" ht="66" customHeight="1" x14ac:dyDescent="0.35">
      <c r="A139" s="7">
        <v>20</v>
      </c>
      <c r="B139" s="1" t="s">
        <v>142</v>
      </c>
      <c r="C139" s="1" t="s">
        <v>209</v>
      </c>
      <c r="D139" s="1" t="s">
        <v>210</v>
      </c>
      <c r="E139" s="1" t="s">
        <v>479</v>
      </c>
      <c r="F139" s="1" t="s">
        <v>480</v>
      </c>
      <c r="G139" s="9">
        <v>1.5</v>
      </c>
      <c r="H139" s="10"/>
      <c r="I139" s="9">
        <v>0</v>
      </c>
      <c r="J139" s="1" t="s">
        <v>78</v>
      </c>
      <c r="K139" s="1"/>
      <c r="L139" s="1"/>
    </row>
    <row r="140" spans="1:12" ht="66" customHeight="1" x14ac:dyDescent="0.35">
      <c r="A140" s="7">
        <v>20</v>
      </c>
      <c r="B140" s="1" t="s">
        <v>142</v>
      </c>
      <c r="C140" s="1" t="s">
        <v>17</v>
      </c>
      <c r="D140" s="1" t="s">
        <v>213</v>
      </c>
      <c r="E140" s="1" t="s">
        <v>481</v>
      </c>
      <c r="F140" s="1" t="s">
        <v>482</v>
      </c>
      <c r="G140" s="9">
        <v>1.5</v>
      </c>
      <c r="H140" s="10"/>
      <c r="I140" s="9">
        <v>0</v>
      </c>
      <c r="J140" s="1" t="s">
        <v>78</v>
      </c>
      <c r="K140" s="1"/>
      <c r="L140" s="1"/>
    </row>
    <row r="141" spans="1:12" ht="66" customHeight="1" x14ac:dyDescent="0.35">
      <c r="A141" s="7">
        <v>20</v>
      </c>
      <c r="B141" s="1" t="s">
        <v>142</v>
      </c>
      <c r="C141" s="1" t="s">
        <v>20</v>
      </c>
      <c r="D141" s="1" t="s">
        <v>216</v>
      </c>
      <c r="E141" s="1" t="s">
        <v>483</v>
      </c>
      <c r="F141" s="1" t="s">
        <v>484</v>
      </c>
      <c r="G141" s="9">
        <v>1</v>
      </c>
      <c r="H141" s="10"/>
      <c r="I141" s="9">
        <v>0</v>
      </c>
      <c r="J141" s="1" t="s">
        <v>78</v>
      </c>
      <c r="K141" s="1"/>
      <c r="L141" s="1"/>
    </row>
    <row r="142" spans="1:12" ht="66" customHeight="1" x14ac:dyDescent="0.35">
      <c r="A142" s="7">
        <v>21</v>
      </c>
      <c r="B142" s="1" t="s">
        <v>159</v>
      </c>
      <c r="C142" s="1" t="s">
        <v>193</v>
      </c>
      <c r="D142" s="1" t="s">
        <v>194</v>
      </c>
      <c r="E142" s="1" t="s">
        <v>485</v>
      </c>
      <c r="F142" s="1" t="s">
        <v>486</v>
      </c>
      <c r="G142" s="9">
        <v>1.5</v>
      </c>
      <c r="H142" s="10"/>
      <c r="I142" s="9">
        <v>0</v>
      </c>
      <c r="J142" s="1" t="s">
        <v>78</v>
      </c>
      <c r="K142" s="1"/>
      <c r="L142" s="1"/>
    </row>
    <row r="143" spans="1:12" ht="66" customHeight="1" x14ac:dyDescent="0.35">
      <c r="A143" s="7">
        <v>21</v>
      </c>
      <c r="B143" s="1" t="s">
        <v>159</v>
      </c>
      <c r="C143" s="1" t="s">
        <v>197</v>
      </c>
      <c r="D143" s="1" t="s">
        <v>198</v>
      </c>
      <c r="E143" s="1" t="s">
        <v>487</v>
      </c>
      <c r="F143" s="1" t="s">
        <v>488</v>
      </c>
      <c r="G143" s="9">
        <v>1.5</v>
      </c>
      <c r="H143" s="10"/>
      <c r="I143" s="9">
        <v>0</v>
      </c>
      <c r="J143" s="1" t="s">
        <v>78</v>
      </c>
      <c r="K143" s="1"/>
      <c r="L143" s="1"/>
    </row>
    <row r="144" spans="1:12" ht="66" customHeight="1" x14ac:dyDescent="0.35">
      <c r="A144" s="7">
        <v>21</v>
      </c>
      <c r="B144" s="1" t="s">
        <v>159</v>
      </c>
      <c r="C144" s="1" t="s">
        <v>201</v>
      </c>
      <c r="D144" s="1" t="s">
        <v>202</v>
      </c>
      <c r="E144" s="1" t="s">
        <v>489</v>
      </c>
      <c r="F144" s="1" t="s">
        <v>490</v>
      </c>
      <c r="G144" s="9">
        <v>1.5</v>
      </c>
      <c r="H144" s="10"/>
      <c r="I144" s="9">
        <v>0</v>
      </c>
      <c r="J144" s="1" t="s">
        <v>78</v>
      </c>
      <c r="K144" s="1"/>
      <c r="L144" s="1"/>
    </row>
    <row r="145" spans="1:12" ht="66" customHeight="1" x14ac:dyDescent="0.35">
      <c r="A145" s="7">
        <v>21</v>
      </c>
      <c r="B145" s="1" t="s">
        <v>159</v>
      </c>
      <c r="C145" s="1" t="s">
        <v>205</v>
      </c>
      <c r="D145" s="1" t="s">
        <v>206</v>
      </c>
      <c r="E145" s="1" t="s">
        <v>491</v>
      </c>
      <c r="F145" s="1" t="s">
        <v>492</v>
      </c>
      <c r="G145" s="9">
        <v>1.5</v>
      </c>
      <c r="H145" s="10"/>
      <c r="I145" s="9">
        <v>0</v>
      </c>
      <c r="J145" s="1" t="s">
        <v>78</v>
      </c>
      <c r="K145" s="1"/>
      <c r="L145" s="1"/>
    </row>
    <row r="146" spans="1:12" ht="66" customHeight="1" x14ac:dyDescent="0.35">
      <c r="A146" s="7">
        <v>21</v>
      </c>
      <c r="B146" s="1" t="s">
        <v>159</v>
      </c>
      <c r="C146" s="1" t="s">
        <v>209</v>
      </c>
      <c r="D146" s="1" t="s">
        <v>210</v>
      </c>
      <c r="E146" s="1" t="s">
        <v>493</v>
      </c>
      <c r="F146" s="1" t="s">
        <v>494</v>
      </c>
      <c r="G146" s="9">
        <v>1.5</v>
      </c>
      <c r="H146" s="10"/>
      <c r="I146" s="9">
        <v>0</v>
      </c>
      <c r="J146" s="1" t="s">
        <v>78</v>
      </c>
      <c r="K146" s="1"/>
      <c r="L146" s="1"/>
    </row>
    <row r="147" spans="1:12" ht="66" customHeight="1" x14ac:dyDescent="0.35">
      <c r="A147" s="7">
        <v>21</v>
      </c>
      <c r="B147" s="1" t="s">
        <v>159</v>
      </c>
      <c r="C147" s="1" t="s">
        <v>17</v>
      </c>
      <c r="D147" s="1" t="s">
        <v>213</v>
      </c>
      <c r="E147" s="1" t="s">
        <v>495</v>
      </c>
      <c r="F147" s="1" t="s">
        <v>496</v>
      </c>
      <c r="G147" s="9">
        <v>1.5</v>
      </c>
      <c r="H147" s="10"/>
      <c r="I147" s="9">
        <v>0</v>
      </c>
      <c r="J147" s="1" t="s">
        <v>78</v>
      </c>
      <c r="K147" s="1"/>
      <c r="L147" s="1"/>
    </row>
    <row r="148" spans="1:12" ht="66" customHeight="1" x14ac:dyDescent="0.35">
      <c r="A148" s="7">
        <v>21</v>
      </c>
      <c r="B148" s="1" t="s">
        <v>159</v>
      </c>
      <c r="C148" s="1" t="s">
        <v>20</v>
      </c>
      <c r="D148" s="1" t="s">
        <v>216</v>
      </c>
      <c r="E148" s="1" t="s">
        <v>497</v>
      </c>
      <c r="F148" s="1" t="s">
        <v>498</v>
      </c>
      <c r="G148" s="9">
        <v>1</v>
      </c>
      <c r="H148" s="10"/>
      <c r="I148" s="9">
        <v>0</v>
      </c>
      <c r="J148" s="1" t="s">
        <v>78</v>
      </c>
      <c r="K148" s="1"/>
      <c r="L148" s="1"/>
    </row>
    <row r="149" spans="1:12" ht="66" customHeight="1" x14ac:dyDescent="0.35">
      <c r="A149" s="7">
        <v>22</v>
      </c>
      <c r="B149" s="1" t="s">
        <v>159</v>
      </c>
      <c r="C149" s="1" t="s">
        <v>193</v>
      </c>
      <c r="D149" s="1" t="s">
        <v>194</v>
      </c>
      <c r="E149" s="1" t="s">
        <v>499</v>
      </c>
      <c r="F149" s="1" t="s">
        <v>500</v>
      </c>
      <c r="G149" s="9">
        <v>1.5</v>
      </c>
      <c r="H149" s="10"/>
      <c r="I149" s="9">
        <v>0</v>
      </c>
      <c r="J149" s="1" t="s">
        <v>78</v>
      </c>
      <c r="K149" s="1"/>
      <c r="L149" s="1"/>
    </row>
    <row r="150" spans="1:12" ht="66" customHeight="1" x14ac:dyDescent="0.35">
      <c r="A150" s="7">
        <v>22</v>
      </c>
      <c r="B150" s="1" t="s">
        <v>159</v>
      </c>
      <c r="C150" s="1" t="s">
        <v>197</v>
      </c>
      <c r="D150" s="1" t="s">
        <v>198</v>
      </c>
      <c r="E150" s="1" t="s">
        <v>501</v>
      </c>
      <c r="F150" s="1" t="s">
        <v>502</v>
      </c>
      <c r="G150" s="9">
        <v>1.5</v>
      </c>
      <c r="H150" s="10"/>
      <c r="I150" s="9">
        <v>0</v>
      </c>
      <c r="J150" s="1" t="s">
        <v>78</v>
      </c>
      <c r="K150" s="1"/>
      <c r="L150" s="1"/>
    </row>
    <row r="151" spans="1:12" ht="66" customHeight="1" x14ac:dyDescent="0.35">
      <c r="A151" s="7">
        <v>22</v>
      </c>
      <c r="B151" s="1" t="s">
        <v>159</v>
      </c>
      <c r="C151" s="1" t="s">
        <v>201</v>
      </c>
      <c r="D151" s="1" t="s">
        <v>202</v>
      </c>
      <c r="E151" s="1" t="s">
        <v>503</v>
      </c>
      <c r="F151" s="1" t="s">
        <v>504</v>
      </c>
      <c r="G151" s="9">
        <v>1.5</v>
      </c>
      <c r="H151" s="10"/>
      <c r="I151" s="9">
        <v>0</v>
      </c>
      <c r="J151" s="1" t="s">
        <v>78</v>
      </c>
      <c r="K151" s="1"/>
      <c r="L151" s="1"/>
    </row>
    <row r="152" spans="1:12" ht="66" customHeight="1" x14ac:dyDescent="0.35">
      <c r="A152" s="7">
        <v>22</v>
      </c>
      <c r="B152" s="1" t="s">
        <v>159</v>
      </c>
      <c r="C152" s="1" t="s">
        <v>205</v>
      </c>
      <c r="D152" s="1" t="s">
        <v>206</v>
      </c>
      <c r="E152" s="1" t="s">
        <v>505</v>
      </c>
      <c r="F152" s="1" t="s">
        <v>506</v>
      </c>
      <c r="G152" s="9">
        <v>1.5</v>
      </c>
      <c r="H152" s="10"/>
      <c r="I152" s="9">
        <v>0</v>
      </c>
      <c r="J152" s="1" t="s">
        <v>78</v>
      </c>
      <c r="K152" s="1"/>
      <c r="L152" s="1"/>
    </row>
    <row r="153" spans="1:12" ht="66" customHeight="1" x14ac:dyDescent="0.35">
      <c r="A153" s="7">
        <v>22</v>
      </c>
      <c r="B153" s="1" t="s">
        <v>159</v>
      </c>
      <c r="C153" s="1" t="s">
        <v>209</v>
      </c>
      <c r="D153" s="1" t="s">
        <v>210</v>
      </c>
      <c r="E153" s="1" t="s">
        <v>507</v>
      </c>
      <c r="F153" s="1" t="s">
        <v>508</v>
      </c>
      <c r="G153" s="9">
        <v>1.5</v>
      </c>
      <c r="H153" s="10"/>
      <c r="I153" s="9">
        <v>0</v>
      </c>
      <c r="J153" s="1" t="s">
        <v>78</v>
      </c>
      <c r="K153" s="1"/>
      <c r="L153" s="1"/>
    </row>
    <row r="154" spans="1:12" ht="66" customHeight="1" x14ac:dyDescent="0.35">
      <c r="A154" s="7">
        <v>22</v>
      </c>
      <c r="B154" s="1" t="s">
        <v>159</v>
      </c>
      <c r="C154" s="1" t="s">
        <v>17</v>
      </c>
      <c r="D154" s="1" t="s">
        <v>213</v>
      </c>
      <c r="E154" s="1" t="s">
        <v>509</v>
      </c>
      <c r="F154" s="1" t="s">
        <v>510</v>
      </c>
      <c r="G154" s="9">
        <v>1.5</v>
      </c>
      <c r="H154" s="10"/>
      <c r="I154" s="9">
        <v>0</v>
      </c>
      <c r="J154" s="1" t="s">
        <v>78</v>
      </c>
      <c r="K154" s="1"/>
      <c r="L154" s="1"/>
    </row>
    <row r="155" spans="1:12" ht="66" customHeight="1" x14ac:dyDescent="0.35">
      <c r="A155" s="7">
        <v>22</v>
      </c>
      <c r="B155" s="1" t="s">
        <v>159</v>
      </c>
      <c r="C155" s="1" t="s">
        <v>20</v>
      </c>
      <c r="D155" s="1" t="s">
        <v>216</v>
      </c>
      <c r="E155" s="1" t="s">
        <v>511</v>
      </c>
      <c r="F155" s="1" t="s">
        <v>512</v>
      </c>
      <c r="G155" s="9">
        <v>1</v>
      </c>
      <c r="H155" s="10"/>
      <c r="I155" s="9">
        <v>0</v>
      </c>
      <c r="J155" s="1" t="s">
        <v>78</v>
      </c>
      <c r="K155" s="1"/>
      <c r="L155" s="1"/>
    </row>
    <row r="156" spans="1:12" ht="66" customHeight="1" x14ac:dyDescent="0.35">
      <c r="A156" s="7">
        <v>23</v>
      </c>
      <c r="B156" s="1" t="s">
        <v>159</v>
      </c>
      <c r="C156" s="1" t="s">
        <v>193</v>
      </c>
      <c r="D156" s="1" t="s">
        <v>194</v>
      </c>
      <c r="E156" s="1" t="s">
        <v>513</v>
      </c>
      <c r="F156" s="1" t="s">
        <v>514</v>
      </c>
      <c r="G156" s="9">
        <v>1.5</v>
      </c>
      <c r="H156" s="10"/>
      <c r="I156" s="9">
        <v>0</v>
      </c>
      <c r="J156" s="1" t="s">
        <v>78</v>
      </c>
      <c r="K156" s="1"/>
      <c r="L156" s="1"/>
    </row>
    <row r="157" spans="1:12" ht="66" customHeight="1" x14ac:dyDescent="0.35">
      <c r="A157" s="7">
        <v>23</v>
      </c>
      <c r="B157" s="1" t="s">
        <v>159</v>
      </c>
      <c r="C157" s="1" t="s">
        <v>197</v>
      </c>
      <c r="D157" s="1" t="s">
        <v>198</v>
      </c>
      <c r="E157" s="1" t="s">
        <v>515</v>
      </c>
      <c r="F157" s="1" t="s">
        <v>516</v>
      </c>
      <c r="G157" s="9">
        <v>1.5</v>
      </c>
      <c r="H157" s="10"/>
      <c r="I157" s="9">
        <v>0</v>
      </c>
      <c r="J157" s="1" t="s">
        <v>78</v>
      </c>
      <c r="K157" s="1"/>
      <c r="L157" s="1"/>
    </row>
    <row r="158" spans="1:12" ht="66" customHeight="1" x14ac:dyDescent="0.35">
      <c r="A158" s="7">
        <v>23</v>
      </c>
      <c r="B158" s="1" t="s">
        <v>159</v>
      </c>
      <c r="C158" s="1" t="s">
        <v>201</v>
      </c>
      <c r="D158" s="1" t="s">
        <v>202</v>
      </c>
      <c r="E158" s="1" t="s">
        <v>517</v>
      </c>
      <c r="F158" s="1" t="s">
        <v>518</v>
      </c>
      <c r="G158" s="9">
        <v>1.5</v>
      </c>
      <c r="H158" s="10"/>
      <c r="I158" s="9">
        <v>0</v>
      </c>
      <c r="J158" s="1" t="s">
        <v>78</v>
      </c>
      <c r="K158" s="1"/>
      <c r="L158" s="1"/>
    </row>
    <row r="159" spans="1:12" ht="66" customHeight="1" x14ac:dyDescent="0.35">
      <c r="A159" s="7">
        <v>23</v>
      </c>
      <c r="B159" s="1" t="s">
        <v>159</v>
      </c>
      <c r="C159" s="1" t="s">
        <v>205</v>
      </c>
      <c r="D159" s="1" t="s">
        <v>206</v>
      </c>
      <c r="E159" s="1" t="s">
        <v>519</v>
      </c>
      <c r="F159" s="1" t="s">
        <v>520</v>
      </c>
      <c r="G159" s="9">
        <v>1.5</v>
      </c>
      <c r="H159" s="10"/>
      <c r="I159" s="9">
        <v>0</v>
      </c>
      <c r="J159" s="1" t="s">
        <v>78</v>
      </c>
      <c r="K159" s="1"/>
      <c r="L159" s="1"/>
    </row>
    <row r="160" spans="1:12" ht="66" customHeight="1" x14ac:dyDescent="0.35">
      <c r="A160" s="7">
        <v>23</v>
      </c>
      <c r="B160" s="1" t="s">
        <v>159</v>
      </c>
      <c r="C160" s="1" t="s">
        <v>209</v>
      </c>
      <c r="D160" s="1" t="s">
        <v>210</v>
      </c>
      <c r="E160" s="1" t="s">
        <v>521</v>
      </c>
      <c r="F160" s="1" t="s">
        <v>522</v>
      </c>
      <c r="G160" s="9">
        <v>1.5</v>
      </c>
      <c r="H160" s="10"/>
      <c r="I160" s="9">
        <v>0</v>
      </c>
      <c r="J160" s="1" t="s">
        <v>78</v>
      </c>
      <c r="K160" s="1"/>
      <c r="L160" s="1"/>
    </row>
    <row r="161" spans="1:12" ht="66" customHeight="1" x14ac:dyDescent="0.35">
      <c r="A161" s="7">
        <v>23</v>
      </c>
      <c r="B161" s="1" t="s">
        <v>159</v>
      </c>
      <c r="C161" s="1" t="s">
        <v>17</v>
      </c>
      <c r="D161" s="1" t="s">
        <v>213</v>
      </c>
      <c r="E161" s="1" t="s">
        <v>523</v>
      </c>
      <c r="F161" s="1" t="s">
        <v>524</v>
      </c>
      <c r="G161" s="9">
        <v>1.5</v>
      </c>
      <c r="H161" s="10"/>
      <c r="I161" s="9">
        <v>0</v>
      </c>
      <c r="J161" s="1" t="s">
        <v>78</v>
      </c>
      <c r="K161" s="1"/>
      <c r="L161" s="1"/>
    </row>
    <row r="162" spans="1:12" ht="66" customHeight="1" x14ac:dyDescent="0.35">
      <c r="A162" s="7">
        <v>23</v>
      </c>
      <c r="B162" s="1" t="s">
        <v>159</v>
      </c>
      <c r="C162" s="1" t="s">
        <v>20</v>
      </c>
      <c r="D162" s="1" t="s">
        <v>216</v>
      </c>
      <c r="E162" s="1" t="s">
        <v>525</v>
      </c>
      <c r="F162" s="1" t="s">
        <v>526</v>
      </c>
      <c r="G162" s="9">
        <v>1</v>
      </c>
      <c r="H162" s="10"/>
      <c r="I162" s="9">
        <v>0</v>
      </c>
      <c r="J162" s="1" t="s">
        <v>78</v>
      </c>
      <c r="K162" s="1"/>
      <c r="L162" s="1"/>
    </row>
    <row r="163" spans="1:12" ht="66" customHeight="1" x14ac:dyDescent="0.35">
      <c r="A163" s="7">
        <v>24</v>
      </c>
      <c r="B163" s="1" t="s">
        <v>159</v>
      </c>
      <c r="C163" s="1" t="s">
        <v>193</v>
      </c>
      <c r="D163" s="1" t="s">
        <v>194</v>
      </c>
      <c r="E163" s="1" t="s">
        <v>527</v>
      </c>
      <c r="F163" s="1" t="s">
        <v>528</v>
      </c>
      <c r="G163" s="9">
        <v>1.5</v>
      </c>
      <c r="H163" s="10"/>
      <c r="I163" s="9">
        <v>0</v>
      </c>
      <c r="J163" s="1" t="s">
        <v>78</v>
      </c>
      <c r="K163" s="1"/>
      <c r="L163" s="1"/>
    </row>
    <row r="164" spans="1:12" ht="66" customHeight="1" x14ac:dyDescent="0.35">
      <c r="A164" s="7">
        <v>24</v>
      </c>
      <c r="B164" s="1" t="s">
        <v>159</v>
      </c>
      <c r="C164" s="1" t="s">
        <v>197</v>
      </c>
      <c r="D164" s="1" t="s">
        <v>198</v>
      </c>
      <c r="E164" s="1" t="s">
        <v>529</v>
      </c>
      <c r="F164" s="1" t="s">
        <v>530</v>
      </c>
      <c r="G164" s="9">
        <v>1.5</v>
      </c>
      <c r="H164" s="10"/>
      <c r="I164" s="9">
        <v>0</v>
      </c>
      <c r="J164" s="1" t="s">
        <v>78</v>
      </c>
      <c r="K164" s="1"/>
      <c r="L164" s="1"/>
    </row>
    <row r="165" spans="1:12" ht="66" customHeight="1" x14ac:dyDescent="0.35">
      <c r="A165" s="7">
        <v>24</v>
      </c>
      <c r="B165" s="1" t="s">
        <v>159</v>
      </c>
      <c r="C165" s="1" t="s">
        <v>201</v>
      </c>
      <c r="D165" s="1" t="s">
        <v>202</v>
      </c>
      <c r="E165" s="1" t="s">
        <v>531</v>
      </c>
      <c r="F165" s="1" t="s">
        <v>532</v>
      </c>
      <c r="G165" s="9">
        <v>1.5</v>
      </c>
      <c r="H165" s="10"/>
      <c r="I165" s="9">
        <v>0</v>
      </c>
      <c r="J165" s="1" t="s">
        <v>78</v>
      </c>
      <c r="K165" s="1"/>
      <c r="L165" s="1"/>
    </row>
    <row r="166" spans="1:12" ht="66" customHeight="1" x14ac:dyDescent="0.35">
      <c r="A166" s="7">
        <v>24</v>
      </c>
      <c r="B166" s="1" t="s">
        <v>159</v>
      </c>
      <c r="C166" s="1" t="s">
        <v>205</v>
      </c>
      <c r="D166" s="1" t="s">
        <v>206</v>
      </c>
      <c r="E166" s="1" t="s">
        <v>533</v>
      </c>
      <c r="F166" s="1" t="s">
        <v>534</v>
      </c>
      <c r="G166" s="9">
        <v>1.5</v>
      </c>
      <c r="H166" s="10"/>
      <c r="I166" s="9">
        <v>0</v>
      </c>
      <c r="J166" s="1" t="s">
        <v>78</v>
      </c>
      <c r="K166" s="1"/>
      <c r="L166" s="1"/>
    </row>
    <row r="167" spans="1:12" ht="66" customHeight="1" x14ac:dyDescent="0.35">
      <c r="A167" s="7">
        <v>24</v>
      </c>
      <c r="B167" s="1" t="s">
        <v>159</v>
      </c>
      <c r="C167" s="1" t="s">
        <v>209</v>
      </c>
      <c r="D167" s="1" t="s">
        <v>210</v>
      </c>
      <c r="E167" s="1" t="s">
        <v>535</v>
      </c>
      <c r="F167" s="1" t="s">
        <v>536</v>
      </c>
      <c r="G167" s="9">
        <v>1.5</v>
      </c>
      <c r="H167" s="10"/>
      <c r="I167" s="9">
        <v>0</v>
      </c>
      <c r="J167" s="1" t="s">
        <v>78</v>
      </c>
      <c r="K167" s="1"/>
      <c r="L167" s="1"/>
    </row>
    <row r="168" spans="1:12" ht="66" customHeight="1" x14ac:dyDescent="0.35">
      <c r="A168" s="7">
        <v>24</v>
      </c>
      <c r="B168" s="1" t="s">
        <v>159</v>
      </c>
      <c r="C168" s="1" t="s">
        <v>17</v>
      </c>
      <c r="D168" s="1" t="s">
        <v>213</v>
      </c>
      <c r="E168" s="1" t="s">
        <v>537</v>
      </c>
      <c r="F168" s="1" t="s">
        <v>538</v>
      </c>
      <c r="G168" s="9">
        <v>1.5</v>
      </c>
      <c r="H168" s="10"/>
      <c r="I168" s="9">
        <v>0</v>
      </c>
      <c r="J168" s="1" t="s">
        <v>78</v>
      </c>
      <c r="K168" s="1"/>
      <c r="L168" s="1"/>
    </row>
    <row r="169" spans="1:12" ht="66" customHeight="1" x14ac:dyDescent="0.35">
      <c r="A169" s="7">
        <v>24</v>
      </c>
      <c r="B169" s="1" t="s">
        <v>159</v>
      </c>
      <c r="C169" s="1" t="s">
        <v>20</v>
      </c>
      <c r="D169" s="1" t="s">
        <v>216</v>
      </c>
      <c r="E169" s="1" t="s">
        <v>539</v>
      </c>
      <c r="F169" s="1" t="s">
        <v>540</v>
      </c>
      <c r="G169" s="9">
        <v>1</v>
      </c>
      <c r="H169" s="10"/>
      <c r="I169" s="9">
        <v>0</v>
      </c>
      <c r="J169" s="1" t="s">
        <v>78</v>
      </c>
      <c r="K169" s="1"/>
      <c r="L169" s="1"/>
    </row>
    <row r="170" spans="1:12" ht="66" customHeight="1" x14ac:dyDescent="0.35">
      <c r="A170" s="7">
        <v>25</v>
      </c>
      <c r="B170" s="1" t="s">
        <v>159</v>
      </c>
      <c r="C170" s="1" t="s">
        <v>193</v>
      </c>
      <c r="D170" s="1" t="s">
        <v>194</v>
      </c>
      <c r="E170" s="1" t="s">
        <v>541</v>
      </c>
      <c r="F170" s="1" t="s">
        <v>542</v>
      </c>
      <c r="G170" s="9">
        <v>1.5</v>
      </c>
      <c r="H170" s="10"/>
      <c r="I170" s="9">
        <v>0</v>
      </c>
      <c r="J170" s="1" t="s">
        <v>78</v>
      </c>
      <c r="K170" s="1"/>
      <c r="L170" s="1"/>
    </row>
    <row r="171" spans="1:12" ht="66" customHeight="1" x14ac:dyDescent="0.35">
      <c r="A171" s="7">
        <v>25</v>
      </c>
      <c r="B171" s="1" t="s">
        <v>159</v>
      </c>
      <c r="C171" s="1" t="s">
        <v>197</v>
      </c>
      <c r="D171" s="1" t="s">
        <v>198</v>
      </c>
      <c r="E171" s="1" t="s">
        <v>543</v>
      </c>
      <c r="F171" s="1" t="s">
        <v>544</v>
      </c>
      <c r="G171" s="9">
        <v>1.5</v>
      </c>
      <c r="H171" s="10"/>
      <c r="I171" s="9">
        <v>0</v>
      </c>
      <c r="J171" s="1" t="s">
        <v>78</v>
      </c>
      <c r="K171" s="1"/>
      <c r="L171" s="1"/>
    </row>
    <row r="172" spans="1:12" ht="66" customHeight="1" x14ac:dyDescent="0.35">
      <c r="A172" s="7">
        <v>25</v>
      </c>
      <c r="B172" s="1" t="s">
        <v>159</v>
      </c>
      <c r="C172" s="1" t="s">
        <v>201</v>
      </c>
      <c r="D172" s="1" t="s">
        <v>202</v>
      </c>
      <c r="E172" s="1" t="s">
        <v>545</v>
      </c>
      <c r="F172" s="1" t="s">
        <v>546</v>
      </c>
      <c r="G172" s="9">
        <v>1.5</v>
      </c>
      <c r="H172" s="10"/>
      <c r="I172" s="9">
        <v>0</v>
      </c>
      <c r="J172" s="1" t="s">
        <v>78</v>
      </c>
      <c r="K172" s="1"/>
      <c r="L172" s="1"/>
    </row>
    <row r="173" spans="1:12" ht="66" customHeight="1" x14ac:dyDescent="0.35">
      <c r="A173" s="7">
        <v>25</v>
      </c>
      <c r="B173" s="1" t="s">
        <v>159</v>
      </c>
      <c r="C173" s="1" t="s">
        <v>205</v>
      </c>
      <c r="D173" s="1" t="s">
        <v>206</v>
      </c>
      <c r="E173" s="1" t="s">
        <v>547</v>
      </c>
      <c r="F173" s="1" t="s">
        <v>548</v>
      </c>
      <c r="G173" s="9">
        <v>1.5</v>
      </c>
      <c r="H173" s="10"/>
      <c r="I173" s="9">
        <v>0</v>
      </c>
      <c r="J173" s="1" t="s">
        <v>78</v>
      </c>
      <c r="K173" s="1"/>
      <c r="L173" s="1"/>
    </row>
    <row r="174" spans="1:12" ht="66" customHeight="1" x14ac:dyDescent="0.35">
      <c r="A174" s="7">
        <v>25</v>
      </c>
      <c r="B174" s="1" t="s">
        <v>159</v>
      </c>
      <c r="C174" s="1" t="s">
        <v>209</v>
      </c>
      <c r="D174" s="1" t="s">
        <v>210</v>
      </c>
      <c r="E174" s="1" t="s">
        <v>549</v>
      </c>
      <c r="F174" s="1" t="s">
        <v>550</v>
      </c>
      <c r="G174" s="9">
        <v>1.5</v>
      </c>
      <c r="H174" s="10"/>
      <c r="I174" s="9">
        <v>0</v>
      </c>
      <c r="J174" s="1" t="s">
        <v>78</v>
      </c>
      <c r="K174" s="1"/>
      <c r="L174" s="1"/>
    </row>
    <row r="175" spans="1:12" ht="66" customHeight="1" x14ac:dyDescent="0.35">
      <c r="A175" s="7">
        <v>25</v>
      </c>
      <c r="B175" s="1" t="s">
        <v>159</v>
      </c>
      <c r="C175" s="1" t="s">
        <v>17</v>
      </c>
      <c r="D175" s="1" t="s">
        <v>213</v>
      </c>
      <c r="E175" s="1" t="s">
        <v>551</v>
      </c>
      <c r="F175" s="1" t="s">
        <v>552</v>
      </c>
      <c r="G175" s="9">
        <v>1.5</v>
      </c>
      <c r="H175" s="10"/>
      <c r="I175" s="9">
        <v>0</v>
      </c>
      <c r="J175" s="1" t="s">
        <v>78</v>
      </c>
      <c r="K175" s="1"/>
      <c r="L175" s="1"/>
    </row>
    <row r="176" spans="1:12" ht="66" customHeight="1" x14ac:dyDescent="0.35">
      <c r="A176" s="7">
        <v>25</v>
      </c>
      <c r="B176" s="1" t="s">
        <v>159</v>
      </c>
      <c r="C176" s="1" t="s">
        <v>20</v>
      </c>
      <c r="D176" s="1" t="s">
        <v>216</v>
      </c>
      <c r="E176" s="1" t="s">
        <v>553</v>
      </c>
      <c r="F176" s="1" t="s">
        <v>554</v>
      </c>
      <c r="G176" s="9">
        <v>1</v>
      </c>
      <c r="H176" s="10"/>
      <c r="I176" s="9">
        <v>0</v>
      </c>
      <c r="J176" s="1" t="s">
        <v>78</v>
      </c>
      <c r="K176" s="1"/>
      <c r="L176" s="1"/>
    </row>
    <row r="177" spans="1:12" ht="66" customHeight="1" x14ac:dyDescent="0.35">
      <c r="A177" s="7">
        <v>26</v>
      </c>
      <c r="B177" s="1" t="s">
        <v>159</v>
      </c>
      <c r="C177" s="1" t="s">
        <v>193</v>
      </c>
      <c r="D177" s="1" t="s">
        <v>194</v>
      </c>
      <c r="E177" s="1" t="s">
        <v>555</v>
      </c>
      <c r="F177" s="1" t="s">
        <v>556</v>
      </c>
      <c r="G177" s="9">
        <v>1.5</v>
      </c>
      <c r="H177" s="10"/>
      <c r="I177" s="9">
        <v>0</v>
      </c>
      <c r="J177" s="1" t="s">
        <v>78</v>
      </c>
      <c r="K177" s="1"/>
      <c r="L177" s="1"/>
    </row>
    <row r="178" spans="1:12" ht="66" customHeight="1" x14ac:dyDescent="0.35">
      <c r="A178" s="7">
        <v>26</v>
      </c>
      <c r="B178" s="1" t="s">
        <v>159</v>
      </c>
      <c r="C178" s="1" t="s">
        <v>197</v>
      </c>
      <c r="D178" s="1" t="s">
        <v>198</v>
      </c>
      <c r="E178" s="1" t="s">
        <v>557</v>
      </c>
      <c r="F178" s="1" t="s">
        <v>558</v>
      </c>
      <c r="G178" s="9">
        <v>1.5</v>
      </c>
      <c r="H178" s="10"/>
      <c r="I178" s="9">
        <v>0</v>
      </c>
      <c r="J178" s="1" t="s">
        <v>78</v>
      </c>
      <c r="K178" s="1"/>
      <c r="L178" s="1"/>
    </row>
    <row r="179" spans="1:12" ht="66" customHeight="1" x14ac:dyDescent="0.35">
      <c r="A179" s="7">
        <v>26</v>
      </c>
      <c r="B179" s="1" t="s">
        <v>159</v>
      </c>
      <c r="C179" s="1" t="s">
        <v>201</v>
      </c>
      <c r="D179" s="1" t="s">
        <v>202</v>
      </c>
      <c r="E179" s="1" t="s">
        <v>559</v>
      </c>
      <c r="F179" s="1" t="s">
        <v>560</v>
      </c>
      <c r="G179" s="9">
        <v>1.5</v>
      </c>
      <c r="H179" s="10"/>
      <c r="I179" s="9">
        <v>0</v>
      </c>
      <c r="J179" s="1" t="s">
        <v>78</v>
      </c>
      <c r="K179" s="1"/>
      <c r="L179" s="1"/>
    </row>
    <row r="180" spans="1:12" ht="66" customHeight="1" x14ac:dyDescent="0.35">
      <c r="A180" s="7">
        <v>26</v>
      </c>
      <c r="B180" s="1" t="s">
        <v>159</v>
      </c>
      <c r="C180" s="1" t="s">
        <v>205</v>
      </c>
      <c r="D180" s="1" t="s">
        <v>206</v>
      </c>
      <c r="E180" s="1" t="s">
        <v>561</v>
      </c>
      <c r="F180" s="1" t="s">
        <v>562</v>
      </c>
      <c r="G180" s="9">
        <v>1.5</v>
      </c>
      <c r="H180" s="10"/>
      <c r="I180" s="9">
        <v>0</v>
      </c>
      <c r="J180" s="1" t="s">
        <v>78</v>
      </c>
      <c r="K180" s="1"/>
      <c r="L180" s="1"/>
    </row>
    <row r="181" spans="1:12" ht="66" customHeight="1" x14ac:dyDescent="0.35">
      <c r="A181" s="7">
        <v>26</v>
      </c>
      <c r="B181" s="1" t="s">
        <v>159</v>
      </c>
      <c r="C181" s="1" t="s">
        <v>209</v>
      </c>
      <c r="D181" s="1" t="s">
        <v>210</v>
      </c>
      <c r="E181" s="1" t="s">
        <v>563</v>
      </c>
      <c r="F181" s="1" t="s">
        <v>564</v>
      </c>
      <c r="G181" s="9">
        <v>1.5</v>
      </c>
      <c r="H181" s="10"/>
      <c r="I181" s="9">
        <v>0</v>
      </c>
      <c r="J181" s="1" t="s">
        <v>78</v>
      </c>
      <c r="K181" s="1"/>
      <c r="L181" s="1"/>
    </row>
    <row r="182" spans="1:12" ht="66" customHeight="1" x14ac:dyDescent="0.35">
      <c r="A182" s="7">
        <v>26</v>
      </c>
      <c r="B182" s="1" t="s">
        <v>159</v>
      </c>
      <c r="C182" s="1" t="s">
        <v>17</v>
      </c>
      <c r="D182" s="1" t="s">
        <v>213</v>
      </c>
      <c r="E182" s="1" t="s">
        <v>565</v>
      </c>
      <c r="F182" s="1" t="s">
        <v>566</v>
      </c>
      <c r="G182" s="9">
        <v>1.5</v>
      </c>
      <c r="H182" s="10"/>
      <c r="I182" s="9">
        <v>0</v>
      </c>
      <c r="J182" s="1" t="s">
        <v>78</v>
      </c>
      <c r="K182" s="1"/>
      <c r="L182" s="1"/>
    </row>
    <row r="183" spans="1:12" ht="66" customHeight="1" x14ac:dyDescent="0.35">
      <c r="A183" s="7">
        <v>26</v>
      </c>
      <c r="B183" s="1" t="s">
        <v>159</v>
      </c>
      <c r="C183" s="1" t="s">
        <v>20</v>
      </c>
      <c r="D183" s="1" t="s">
        <v>216</v>
      </c>
      <c r="E183" s="1" t="s">
        <v>567</v>
      </c>
      <c r="F183" s="1" t="s">
        <v>568</v>
      </c>
      <c r="G183" s="9">
        <v>1</v>
      </c>
      <c r="H183" s="10"/>
      <c r="I183" s="9">
        <v>0</v>
      </c>
      <c r="J183" s="1" t="s">
        <v>78</v>
      </c>
      <c r="K183" s="1"/>
      <c r="L183" s="1"/>
    </row>
  </sheetData>
  <autoFilter ref="A1:L183" xr:uid="{00000000-0009-0000-0000-000003000000}"/>
  <dataValidations count="2">
    <dataValidation type="list" sqref="J2:J183" xr:uid="{00000000-0002-0000-0300-000000000000}">
      <formula1>"Not Started,In Progress,Blocked,Completed"</formula1>
    </dataValidation>
    <dataValidation type="decimal" allowBlank="1" sqref="I2:I183" xr:uid="{00000000-0002-0000-0300-000001000000}">
      <formula1>0</formula1>
      <formula2>24</formula2>
    </dataValidation>
  </dataValidations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26"/>
  <sheetViews>
    <sheetView showGridLines="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32" customWidth="1"/>
    <col min="2" max="2" width="70" customWidth="1"/>
    <col min="3" max="3" width="22" customWidth="1"/>
    <col min="4" max="4" width="60" customWidth="1"/>
  </cols>
  <sheetData>
    <row r="1" spans="1:4" x14ac:dyDescent="0.35">
      <c r="A1" s="11" t="s">
        <v>569</v>
      </c>
      <c r="B1" s="11" t="s">
        <v>570</v>
      </c>
      <c r="C1" s="11" t="s">
        <v>571</v>
      </c>
      <c r="D1" s="11" t="s">
        <v>572</v>
      </c>
    </row>
    <row r="2" spans="1:4" ht="36" customHeight="1" x14ac:dyDescent="0.35">
      <c r="A2" s="1" t="s">
        <v>573</v>
      </c>
      <c r="B2" s="20" t="s">
        <v>574</v>
      </c>
      <c r="C2" s="1" t="s">
        <v>575</v>
      </c>
      <c r="D2" s="1" t="s">
        <v>576</v>
      </c>
    </row>
    <row r="3" spans="1:4" ht="36" customHeight="1" x14ac:dyDescent="0.35">
      <c r="A3" s="1" t="s">
        <v>577</v>
      </c>
      <c r="B3" s="20" t="s">
        <v>578</v>
      </c>
      <c r="C3" s="1" t="s">
        <v>579</v>
      </c>
      <c r="D3" s="1" t="s">
        <v>580</v>
      </c>
    </row>
    <row r="4" spans="1:4" ht="36" customHeight="1" x14ac:dyDescent="0.35">
      <c r="A4" s="1" t="s">
        <v>581</v>
      </c>
      <c r="B4" s="20" t="s">
        <v>582</v>
      </c>
      <c r="C4" s="1" t="s">
        <v>583</v>
      </c>
      <c r="D4" s="1" t="s">
        <v>584</v>
      </c>
    </row>
    <row r="5" spans="1:4" ht="36" customHeight="1" x14ac:dyDescent="0.35">
      <c r="A5" s="1" t="s">
        <v>585</v>
      </c>
      <c r="B5" s="20" t="s">
        <v>586</v>
      </c>
      <c r="C5" s="1" t="s">
        <v>587</v>
      </c>
      <c r="D5" s="1" t="s">
        <v>588</v>
      </c>
    </row>
    <row r="6" spans="1:4" ht="36" customHeight="1" x14ac:dyDescent="0.35">
      <c r="A6" s="1" t="s">
        <v>589</v>
      </c>
      <c r="B6" s="20" t="s">
        <v>590</v>
      </c>
      <c r="C6" s="1" t="s">
        <v>591</v>
      </c>
      <c r="D6" s="1" t="s">
        <v>592</v>
      </c>
    </row>
    <row r="7" spans="1:4" ht="36" customHeight="1" x14ac:dyDescent="0.35">
      <c r="A7" s="1" t="s">
        <v>593</v>
      </c>
      <c r="B7" s="20" t="s">
        <v>594</v>
      </c>
      <c r="C7" s="1" t="s">
        <v>595</v>
      </c>
      <c r="D7" s="1" t="s">
        <v>596</v>
      </c>
    </row>
    <row r="8" spans="1:4" ht="36" customHeight="1" x14ac:dyDescent="0.35">
      <c r="A8" s="1" t="s">
        <v>597</v>
      </c>
      <c r="B8" s="20" t="s">
        <v>598</v>
      </c>
      <c r="C8" s="1" t="s">
        <v>599</v>
      </c>
      <c r="D8" s="1" t="s">
        <v>600</v>
      </c>
    </row>
    <row r="9" spans="1:4" ht="36" customHeight="1" x14ac:dyDescent="0.35">
      <c r="A9" s="1" t="s">
        <v>601</v>
      </c>
      <c r="B9" s="20" t="s">
        <v>602</v>
      </c>
      <c r="C9" s="1" t="s">
        <v>603</v>
      </c>
      <c r="D9" s="1" t="s">
        <v>604</v>
      </c>
    </row>
    <row r="10" spans="1:4" ht="36" customHeight="1" x14ac:dyDescent="0.35">
      <c r="A10" s="1" t="s">
        <v>605</v>
      </c>
      <c r="B10" s="20" t="s">
        <v>606</v>
      </c>
      <c r="C10" s="1" t="s">
        <v>603</v>
      </c>
      <c r="D10" s="1" t="s">
        <v>607</v>
      </c>
    </row>
    <row r="11" spans="1:4" ht="36" customHeight="1" x14ac:dyDescent="0.35">
      <c r="A11" s="1" t="s">
        <v>608</v>
      </c>
      <c r="B11" s="20" t="s">
        <v>609</v>
      </c>
      <c r="C11" s="1" t="s">
        <v>610</v>
      </c>
      <c r="D11" s="1" t="s">
        <v>611</v>
      </c>
    </row>
    <row r="12" spans="1:4" ht="36" customHeight="1" x14ac:dyDescent="0.35">
      <c r="A12" s="1" t="s">
        <v>612</v>
      </c>
      <c r="B12" s="20" t="s">
        <v>613</v>
      </c>
      <c r="C12" s="1" t="s">
        <v>614</v>
      </c>
      <c r="D12" s="1" t="s">
        <v>615</v>
      </c>
    </row>
    <row r="13" spans="1:4" ht="36" customHeight="1" x14ac:dyDescent="0.35">
      <c r="A13" s="1" t="s">
        <v>616</v>
      </c>
      <c r="B13" s="20" t="s">
        <v>617</v>
      </c>
      <c r="C13" s="1" t="s">
        <v>618</v>
      </c>
      <c r="D13" s="1" t="s">
        <v>619</v>
      </c>
    </row>
    <row r="14" spans="1:4" ht="36" customHeight="1" x14ac:dyDescent="0.35">
      <c r="A14" s="1" t="s">
        <v>620</v>
      </c>
      <c r="B14" s="20" t="s">
        <v>621</v>
      </c>
      <c r="C14" s="1" t="s">
        <v>622</v>
      </c>
      <c r="D14" s="1" t="s">
        <v>623</v>
      </c>
    </row>
    <row r="15" spans="1:4" ht="36" customHeight="1" x14ac:dyDescent="0.35">
      <c r="A15" s="1" t="s">
        <v>58</v>
      </c>
      <c r="B15" s="20" t="s">
        <v>624</v>
      </c>
      <c r="C15" s="1" t="s">
        <v>625</v>
      </c>
      <c r="D15" s="1" t="s">
        <v>626</v>
      </c>
    </row>
    <row r="16" spans="1:4" ht="36" customHeight="1" x14ac:dyDescent="0.35">
      <c r="A16" s="1" t="s">
        <v>627</v>
      </c>
      <c r="B16" s="20" t="s">
        <v>628</v>
      </c>
      <c r="C16" s="1" t="s">
        <v>629</v>
      </c>
      <c r="D16" s="1" t="s">
        <v>630</v>
      </c>
    </row>
    <row r="17" spans="1:4" ht="36" customHeight="1" x14ac:dyDescent="0.35">
      <c r="A17" s="1" t="s">
        <v>631</v>
      </c>
      <c r="B17" s="20" t="s">
        <v>632</v>
      </c>
      <c r="C17" s="1" t="s">
        <v>633</v>
      </c>
      <c r="D17" s="1" t="s">
        <v>634</v>
      </c>
    </row>
    <row r="18" spans="1:4" ht="36" customHeight="1" x14ac:dyDescent="0.35">
      <c r="A18" s="1" t="s">
        <v>635</v>
      </c>
      <c r="B18" s="20" t="s">
        <v>636</v>
      </c>
      <c r="C18" s="1" t="s">
        <v>637</v>
      </c>
      <c r="D18" s="1" t="s">
        <v>638</v>
      </c>
    </row>
    <row r="19" spans="1:4" ht="36" customHeight="1" x14ac:dyDescent="0.35">
      <c r="A19" s="1" t="s">
        <v>639</v>
      </c>
      <c r="B19" s="20" t="s">
        <v>640</v>
      </c>
      <c r="C19" s="1" t="s">
        <v>641</v>
      </c>
      <c r="D19" s="1" t="s">
        <v>642</v>
      </c>
    </row>
    <row r="20" spans="1:4" ht="36" customHeight="1" x14ac:dyDescent="0.35">
      <c r="A20" s="1" t="s">
        <v>643</v>
      </c>
      <c r="B20" s="20" t="s">
        <v>644</v>
      </c>
      <c r="C20" s="1" t="s">
        <v>645</v>
      </c>
      <c r="D20" s="1" t="s">
        <v>646</v>
      </c>
    </row>
    <row r="21" spans="1:4" ht="36" customHeight="1" x14ac:dyDescent="0.35">
      <c r="A21" s="1" t="s">
        <v>647</v>
      </c>
      <c r="B21" s="20" t="s">
        <v>648</v>
      </c>
      <c r="C21" s="1" t="s">
        <v>649</v>
      </c>
      <c r="D21" s="1" t="s">
        <v>650</v>
      </c>
    </row>
    <row r="22" spans="1:4" ht="36" customHeight="1" x14ac:dyDescent="0.35">
      <c r="A22" s="1" t="s">
        <v>651</v>
      </c>
      <c r="B22" s="20" t="s">
        <v>652</v>
      </c>
      <c r="C22" s="1" t="s">
        <v>653</v>
      </c>
      <c r="D22" s="1" t="s">
        <v>654</v>
      </c>
    </row>
    <row r="23" spans="1:4" ht="36" customHeight="1" x14ac:dyDescent="0.35">
      <c r="A23" s="1" t="s">
        <v>655</v>
      </c>
      <c r="B23" s="20" t="s">
        <v>656</v>
      </c>
      <c r="C23" s="1" t="s">
        <v>657</v>
      </c>
      <c r="D23" s="1" t="s">
        <v>658</v>
      </c>
    </row>
    <row r="24" spans="1:4" ht="36" customHeight="1" x14ac:dyDescent="0.35">
      <c r="A24" s="1" t="s">
        <v>659</v>
      </c>
      <c r="B24" s="20" t="s">
        <v>660</v>
      </c>
      <c r="C24" s="1" t="s">
        <v>661</v>
      </c>
      <c r="D24" s="1" t="s">
        <v>662</v>
      </c>
    </row>
    <row r="25" spans="1:4" ht="36" customHeight="1" x14ac:dyDescent="0.35">
      <c r="A25" s="1" t="s">
        <v>663</v>
      </c>
      <c r="B25" s="20" t="s">
        <v>664</v>
      </c>
      <c r="C25" s="1" t="s">
        <v>665</v>
      </c>
      <c r="D25" s="1" t="s">
        <v>666</v>
      </c>
    </row>
    <row r="26" spans="1:4" ht="36" customHeight="1" x14ac:dyDescent="0.35">
      <c r="A26" s="1" t="s">
        <v>667</v>
      </c>
      <c r="B26" s="20" t="s">
        <v>668</v>
      </c>
      <c r="C26" s="1" t="s">
        <v>669</v>
      </c>
      <c r="D26" s="1" t="s">
        <v>670</v>
      </c>
    </row>
  </sheetData>
  <autoFilter ref="A1:D26" xr:uid="{00000000-0009-0000-0000-000004000000}"/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  <hyperlink ref="B17" r:id="rId16" xr:uid="{00000000-0004-0000-0400-00000F000000}"/>
    <hyperlink ref="B18" r:id="rId17" xr:uid="{00000000-0004-0000-0400-000010000000}"/>
    <hyperlink ref="B19" r:id="rId18" xr:uid="{00000000-0004-0000-0400-000011000000}"/>
    <hyperlink ref="B20" r:id="rId19" xr:uid="{00000000-0004-0000-0400-000012000000}"/>
    <hyperlink ref="B21" r:id="rId20" xr:uid="{00000000-0004-0000-0400-000013000000}"/>
    <hyperlink ref="B22" r:id="rId21" xr:uid="{00000000-0004-0000-0400-000014000000}"/>
    <hyperlink ref="B23" r:id="rId22" xr:uid="{00000000-0004-0000-0400-000015000000}"/>
    <hyperlink ref="B24" r:id="rId23" xr:uid="{00000000-0004-0000-0400-000016000000}"/>
    <hyperlink ref="B25" r:id="rId24" xr:uid="{00000000-0004-0000-0400-000017000000}"/>
    <hyperlink ref="B26" r:id="rId25" xr:uid="{00000000-0004-0000-0400-000018000000}"/>
  </hyperlinks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45"/>
  <sheetViews>
    <sheetView showGridLines="0" workbookViewId="0">
      <pane ySplit="3" topLeftCell="A4" activePane="bottomLeft" state="frozen"/>
      <selection pane="bottomLeft" activeCell="E35" sqref="E35"/>
    </sheetView>
  </sheetViews>
  <sheetFormatPr defaultRowHeight="14.5" x14ac:dyDescent="0.35"/>
  <cols>
    <col min="1" max="1" width="8" customWidth="1"/>
    <col min="2" max="2" width="28" customWidth="1"/>
    <col min="3" max="3" width="100" customWidth="1"/>
    <col min="4" max="4" width="16" customWidth="1"/>
  </cols>
  <sheetData>
    <row r="1" spans="1:4" ht="21" x14ac:dyDescent="0.5">
      <c r="A1" s="18" t="s">
        <v>671</v>
      </c>
      <c r="B1" s="14"/>
      <c r="C1" s="14"/>
      <c r="D1" s="14"/>
    </row>
    <row r="3" spans="1:4" x14ac:dyDescent="0.35">
      <c r="A3" s="12" t="s">
        <v>672</v>
      </c>
      <c r="B3" s="12" t="s">
        <v>673</v>
      </c>
      <c r="C3" s="12" t="s">
        <v>674</v>
      </c>
      <c r="D3" s="12" t="s">
        <v>675</v>
      </c>
    </row>
    <row r="4" spans="1:4" ht="64" customHeight="1" x14ac:dyDescent="0.35">
      <c r="A4" s="7" t="s">
        <v>676</v>
      </c>
      <c r="B4" s="1" t="s">
        <v>677</v>
      </c>
      <c r="C4" s="1" t="s">
        <v>678</v>
      </c>
      <c r="D4" s="8" t="s">
        <v>78</v>
      </c>
    </row>
    <row r="5" spans="1:4" ht="64" customHeight="1" x14ac:dyDescent="0.35">
      <c r="A5" s="7" t="s">
        <v>679</v>
      </c>
      <c r="B5" s="1" t="s">
        <v>680</v>
      </c>
      <c r="C5" s="1" t="s">
        <v>681</v>
      </c>
      <c r="D5" s="8" t="s">
        <v>78</v>
      </c>
    </row>
    <row r="6" spans="1:4" ht="64" customHeight="1" x14ac:dyDescent="0.35">
      <c r="A6" s="7" t="s">
        <v>682</v>
      </c>
      <c r="B6" s="1" t="s">
        <v>683</v>
      </c>
      <c r="C6" s="1" t="s">
        <v>684</v>
      </c>
      <c r="D6" s="8" t="s">
        <v>78</v>
      </c>
    </row>
    <row r="7" spans="1:4" ht="64" customHeight="1" x14ac:dyDescent="0.35">
      <c r="A7" s="7" t="s">
        <v>685</v>
      </c>
      <c r="B7" s="1" t="s">
        <v>686</v>
      </c>
      <c r="C7" s="1" t="s">
        <v>687</v>
      </c>
      <c r="D7" s="8" t="s">
        <v>78</v>
      </c>
    </row>
    <row r="8" spans="1:4" ht="64" customHeight="1" x14ac:dyDescent="0.35">
      <c r="A8" s="7" t="s">
        <v>688</v>
      </c>
      <c r="B8" s="1" t="s">
        <v>689</v>
      </c>
      <c r="C8" s="1" t="s">
        <v>690</v>
      </c>
      <c r="D8" s="8" t="s">
        <v>78</v>
      </c>
    </row>
    <row r="9" spans="1:4" ht="64" customHeight="1" x14ac:dyDescent="0.35">
      <c r="A9" s="7" t="s">
        <v>691</v>
      </c>
      <c r="B9" s="1" t="s">
        <v>692</v>
      </c>
      <c r="C9" s="1" t="s">
        <v>693</v>
      </c>
      <c r="D9" s="8" t="s">
        <v>78</v>
      </c>
    </row>
    <row r="10" spans="1:4" ht="64" customHeight="1" x14ac:dyDescent="0.35">
      <c r="A10" s="7" t="s">
        <v>694</v>
      </c>
      <c r="B10" s="1" t="s">
        <v>695</v>
      </c>
      <c r="C10" s="1" t="s">
        <v>696</v>
      </c>
      <c r="D10" s="8" t="s">
        <v>78</v>
      </c>
    </row>
    <row r="11" spans="1:4" ht="64" customHeight="1" x14ac:dyDescent="0.35">
      <c r="A11" s="7" t="s">
        <v>697</v>
      </c>
      <c r="B11" s="1" t="s">
        <v>698</v>
      </c>
      <c r="C11" s="1" t="s">
        <v>699</v>
      </c>
      <c r="D11" s="8" t="s">
        <v>78</v>
      </c>
    </row>
    <row r="12" spans="1:4" ht="64" customHeight="1" x14ac:dyDescent="0.35">
      <c r="A12" s="7" t="s">
        <v>700</v>
      </c>
      <c r="B12" s="1" t="s">
        <v>701</v>
      </c>
      <c r="C12" s="1" t="s">
        <v>702</v>
      </c>
      <c r="D12" s="8" t="s">
        <v>78</v>
      </c>
    </row>
    <row r="13" spans="1:4" ht="64" customHeight="1" x14ac:dyDescent="0.35">
      <c r="A13" s="7" t="s">
        <v>703</v>
      </c>
      <c r="B13" s="1" t="s">
        <v>704</v>
      </c>
      <c r="C13" s="1" t="s">
        <v>705</v>
      </c>
      <c r="D13" s="8" t="s">
        <v>78</v>
      </c>
    </row>
    <row r="14" spans="1:4" ht="64" customHeight="1" x14ac:dyDescent="0.35">
      <c r="A14" s="7" t="s">
        <v>706</v>
      </c>
      <c r="B14" s="1" t="s">
        <v>707</v>
      </c>
      <c r="C14" s="1" t="s">
        <v>708</v>
      </c>
      <c r="D14" s="8" t="s">
        <v>78</v>
      </c>
    </row>
    <row r="15" spans="1:4" ht="64" customHeight="1" x14ac:dyDescent="0.35">
      <c r="A15" s="7" t="s">
        <v>709</v>
      </c>
      <c r="B15" s="1" t="s">
        <v>710</v>
      </c>
      <c r="C15" s="1" t="s">
        <v>711</v>
      </c>
      <c r="D15" s="8" t="s">
        <v>78</v>
      </c>
    </row>
    <row r="16" spans="1:4" ht="64" customHeight="1" x14ac:dyDescent="0.35">
      <c r="A16" s="7" t="s">
        <v>712</v>
      </c>
      <c r="B16" s="1" t="s">
        <v>713</v>
      </c>
      <c r="C16" s="1" t="s">
        <v>714</v>
      </c>
      <c r="D16" s="8" t="s">
        <v>78</v>
      </c>
    </row>
    <row r="17" spans="1:4" ht="64" customHeight="1" x14ac:dyDescent="0.35">
      <c r="A17" s="7" t="s">
        <v>715</v>
      </c>
      <c r="B17" s="1" t="s">
        <v>716</v>
      </c>
      <c r="C17" s="1" t="s">
        <v>717</v>
      </c>
      <c r="D17" s="8" t="s">
        <v>78</v>
      </c>
    </row>
    <row r="20" spans="1:4" ht="17" x14ac:dyDescent="0.4">
      <c r="A20" s="16" t="s">
        <v>718</v>
      </c>
      <c r="B20" s="14"/>
      <c r="C20" s="14"/>
      <c r="D20" s="14"/>
    </row>
    <row r="21" spans="1:4" x14ac:dyDescent="0.35">
      <c r="A21" s="19" t="s">
        <v>719</v>
      </c>
      <c r="B21" s="14"/>
      <c r="C21" s="14"/>
      <c r="D21" s="14"/>
    </row>
    <row r="22" spans="1:4" x14ac:dyDescent="0.35">
      <c r="A22" s="14"/>
      <c r="B22" s="14"/>
      <c r="C22" s="14"/>
      <c r="D22" s="14"/>
    </row>
    <row r="23" spans="1:4" x14ac:dyDescent="0.35">
      <c r="A23" s="14"/>
      <c r="B23" s="14"/>
      <c r="C23" s="14"/>
      <c r="D23" s="14"/>
    </row>
    <row r="24" spans="1:4" x14ac:dyDescent="0.35">
      <c r="A24" s="14"/>
      <c r="B24" s="14"/>
      <c r="C24" s="14"/>
      <c r="D24" s="14"/>
    </row>
    <row r="25" spans="1:4" x14ac:dyDescent="0.35">
      <c r="A25" s="14"/>
      <c r="B25" s="14"/>
      <c r="C25" s="14"/>
      <c r="D25" s="14"/>
    </row>
    <row r="26" spans="1:4" x14ac:dyDescent="0.35">
      <c r="A26" s="14"/>
      <c r="B26" s="14"/>
      <c r="C26" s="14"/>
      <c r="D26" s="14"/>
    </row>
    <row r="27" spans="1:4" x14ac:dyDescent="0.35">
      <c r="A27" s="14"/>
      <c r="B27" s="14"/>
      <c r="C27" s="14"/>
      <c r="D27" s="14"/>
    </row>
    <row r="28" spans="1:4" x14ac:dyDescent="0.35">
      <c r="A28" s="14"/>
      <c r="B28" s="14"/>
      <c r="C28" s="14"/>
      <c r="D28" s="14"/>
    </row>
    <row r="29" spans="1:4" x14ac:dyDescent="0.35">
      <c r="A29" s="14"/>
      <c r="B29" s="14"/>
      <c r="C29" s="14"/>
      <c r="D29" s="14"/>
    </row>
    <row r="30" spans="1:4" x14ac:dyDescent="0.35">
      <c r="A30" s="14"/>
      <c r="B30" s="14"/>
      <c r="C30" s="14"/>
      <c r="D30" s="14"/>
    </row>
    <row r="31" spans="1:4" x14ac:dyDescent="0.35">
      <c r="A31" s="14"/>
      <c r="B31" s="14"/>
      <c r="C31" s="14"/>
      <c r="D31" s="14"/>
    </row>
    <row r="33" spans="1:4" ht="17" x14ac:dyDescent="0.4">
      <c r="A33" s="16" t="s">
        <v>720</v>
      </c>
      <c r="B33" s="14"/>
      <c r="C33" s="14"/>
      <c r="D33" s="14"/>
    </row>
    <row r="34" spans="1:4" x14ac:dyDescent="0.35">
      <c r="A34" s="19" t="s">
        <v>721</v>
      </c>
      <c r="B34" s="14"/>
      <c r="C34" s="14"/>
      <c r="D34" s="14"/>
    </row>
    <row r="35" spans="1:4" x14ac:dyDescent="0.35">
      <c r="A35" s="14"/>
      <c r="B35" s="14"/>
      <c r="C35" s="14"/>
      <c r="D35" s="14"/>
    </row>
    <row r="36" spans="1:4" x14ac:dyDescent="0.35">
      <c r="A36" s="14"/>
      <c r="B36" s="14"/>
      <c r="C36" s="14"/>
      <c r="D36" s="14"/>
    </row>
    <row r="37" spans="1:4" x14ac:dyDescent="0.35">
      <c r="A37" s="14"/>
      <c r="B37" s="14"/>
      <c r="C37" s="14"/>
      <c r="D37" s="14"/>
    </row>
    <row r="38" spans="1:4" x14ac:dyDescent="0.35">
      <c r="A38" s="14"/>
      <c r="B38" s="14"/>
      <c r="C38" s="14"/>
      <c r="D38" s="14"/>
    </row>
    <row r="39" spans="1:4" x14ac:dyDescent="0.35">
      <c r="A39" s="14"/>
      <c r="B39" s="14"/>
      <c r="C39" s="14"/>
      <c r="D39" s="14"/>
    </row>
    <row r="40" spans="1:4" x14ac:dyDescent="0.35">
      <c r="A40" s="14"/>
      <c r="B40" s="14"/>
      <c r="C40" s="14"/>
      <c r="D40" s="14"/>
    </row>
    <row r="41" spans="1:4" x14ac:dyDescent="0.35">
      <c r="A41" s="14"/>
      <c r="B41" s="14"/>
      <c r="C41" s="14"/>
      <c r="D41" s="14"/>
    </row>
    <row r="42" spans="1:4" x14ac:dyDescent="0.35">
      <c r="A42" s="14"/>
      <c r="B42" s="14"/>
      <c r="C42" s="14"/>
      <c r="D42" s="14"/>
    </row>
    <row r="43" spans="1:4" x14ac:dyDescent="0.35">
      <c r="A43" s="14"/>
      <c r="B43" s="14"/>
      <c r="C43" s="14"/>
      <c r="D43" s="14"/>
    </row>
    <row r="44" spans="1:4" x14ac:dyDescent="0.35">
      <c r="A44" s="14"/>
      <c r="B44" s="14"/>
      <c r="C44" s="14"/>
      <c r="D44" s="14"/>
    </row>
    <row r="45" spans="1:4" x14ac:dyDescent="0.35">
      <c r="A45" s="14"/>
      <c r="B45" s="14"/>
      <c r="C45" s="14"/>
      <c r="D45" s="14"/>
    </row>
  </sheetData>
  <mergeCells count="5">
    <mergeCell ref="A1:D1"/>
    <mergeCell ref="A34:D45"/>
    <mergeCell ref="A21:D31"/>
    <mergeCell ref="A20:D20"/>
    <mergeCell ref="A33:D33"/>
  </mergeCells>
  <dataValidations count="1">
    <dataValidation type="list" sqref="D4:D17" xr:uid="{00000000-0002-0000-0500-000000000000}">
      <formula1>"Not Started,In Progress,Completed,Blocked"</formula1>
    </dataValidation>
  </dataValidation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Progress Dashboard</vt:lpstr>
      <vt:lpstr>26-Week Roadmap</vt:lpstr>
      <vt:lpstr>Daily Tracker</vt:lpstr>
      <vt:lpstr>Free Resources</vt:lpstr>
      <vt:lpstr>GitHub Setup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Gajanan Chavan</cp:lastModifiedBy>
  <dcterms:created xsi:type="dcterms:W3CDTF">2026-10-24T04:38:39Z</dcterms:created>
  <dcterms:modified xsi:type="dcterms:W3CDTF">2026-10-24T06:00:29Z</dcterms:modified>
</cp:coreProperties>
</file>